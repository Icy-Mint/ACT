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b75\Documents\Other_Proj\ArchitecturalCarbonModelingTool\ACT\data\raw\"/>
    </mc:Choice>
  </mc:AlternateContent>
  <xr:revisionPtr revIDLastSave="0" documentId="13_ncr:1_{DC9985C2-EA95-4101-B8EA-E4D1DDE0C426}" xr6:coauthVersionLast="47" xr6:coauthVersionMax="47" xr10:uidLastSave="{00000000-0000-0000-0000-000000000000}"/>
  <bookViews>
    <workbookView xWindow="-110" yWindow="-110" windowWidth="19420" windowHeight="11500" xr2:uid="{EFECAB25-8862-4039-872A-9D66B4D0B16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1" i="1" l="1"/>
  <c r="V41" i="1"/>
  <c r="U41" i="1"/>
  <c r="W40" i="1"/>
  <c r="V40" i="1"/>
  <c r="U40" i="1"/>
  <c r="W39" i="1"/>
  <c r="V39" i="1"/>
  <c r="U39" i="1"/>
  <c r="W38" i="1"/>
  <c r="V38" i="1"/>
  <c r="U38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 b</author>
  </authors>
  <commentList>
    <comment ref="D21" authorId="0" shapeId="0" xr:uid="{3B78C5C1-E542-4492-8CA5-60B9ECE69D0D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active components </t>
        </r>
      </text>
    </comment>
    <comment ref="D23" authorId="0" shapeId="0" xr:uid="{48B04C56-B8E6-4E5B-9D59-0017FCDDD9A9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BA5</t>
        </r>
      </text>
    </comment>
    <comment ref="D30" authorId="0" shapeId="0" xr:uid="{0B6055E4-86F5-4CB2-9C62-A55269389221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use active model.py for calculation</t>
        </r>
      </text>
    </comment>
    <comment ref="D44" authorId="0" shapeId="0" xr:uid="{F2FBE95E-80D0-4C93-A4EF-09B73F86138A}">
      <text>
        <r>
          <rPr>
            <b/>
            <sz val="9"/>
            <color indexed="81"/>
            <rFont val="Tahoma"/>
            <charset val="1"/>
          </rPr>
          <t>sz b:</t>
        </r>
        <r>
          <rPr>
            <sz val="9"/>
            <color indexed="81"/>
            <rFont val="Tahoma"/>
            <charset val="1"/>
          </rPr>
          <t xml:space="preserve">
from metal sheet</t>
        </r>
      </text>
    </comment>
  </commentList>
</comments>
</file>

<file path=xl/sharedStrings.xml><?xml version="1.0" encoding="utf-8"?>
<sst xmlns="http://schemas.openxmlformats.org/spreadsheetml/2006/main" count="240" uniqueCount="195">
  <si>
    <t>Quantity</t>
  </si>
  <si>
    <t xml:space="preserve">Value </t>
  </si>
  <si>
    <t>Component Category</t>
  </si>
  <si>
    <t>Component Description</t>
  </si>
  <si>
    <t xml:space="preserve">Packaging </t>
  </si>
  <si>
    <t>Weight (kg)</t>
  </si>
  <si>
    <t>Part Number</t>
  </si>
  <si>
    <t>Area (sq mm)</t>
  </si>
  <si>
    <t>Layers</t>
  </si>
  <si>
    <t>Thickness (mm)</t>
  </si>
  <si>
    <t>U1</t>
  </si>
  <si>
    <t>RP2040</t>
  </si>
  <si>
    <t>ICs</t>
  </si>
  <si>
    <t>RP2040 - RP2B1MicroController</t>
  </si>
  <si>
    <t>RP2B1</t>
  </si>
  <si>
    <t>U2</t>
  </si>
  <si>
    <t>RT6154AGQW</t>
  </si>
  <si>
    <t>Integrated Circuits</t>
  </si>
  <si>
    <t>Buck bosst switchmode PSU</t>
  </si>
  <si>
    <t>U3</t>
  </si>
  <si>
    <t>W25Q16JVUXIQ</t>
  </si>
  <si>
    <t>Serial NOR Flash, QSPI, 16MBit, 8-pin USON 2x3mm 133MHz</t>
  </si>
  <si>
    <t>U19</t>
  </si>
  <si>
    <t>CYW43439KUBG</t>
  </si>
  <si>
    <t>BT WIFI FM Combo</t>
  </si>
  <si>
    <t>PCB</t>
  </si>
  <si>
    <t>C1,C2,C21</t>
  </si>
  <si>
    <t>47u</t>
  </si>
  <si>
    <t>Capacitor</t>
  </si>
  <si>
    <t>Capacitor, MLCC, 47u, M2012, 6.3V, 20%, X5R</t>
  </si>
  <si>
    <t>GRM21BR60J476ME01L</t>
  </si>
  <si>
    <t>C4,C5,C6,C7,C8,C9,C10,C11,C15,C20,C251,C255,C256</t>
  </si>
  <si>
    <t>100n</t>
  </si>
  <si>
    <t>Capacitor, MLCC, 100n, M0603, 6.3V, 10%, X5R</t>
  </si>
  <si>
    <t>GRM033R60J104KE19D</t>
  </si>
  <si>
    <t>C12,C13,C14,C18,C246,C248</t>
  </si>
  <si>
    <t>2.2u</t>
  </si>
  <si>
    <t>Capacitor, MLCC, 2u2, M1005, 6.3V, 20%, X5R</t>
  </si>
  <si>
    <t>GRM155R60J225ME01D</t>
  </si>
  <si>
    <t>C16,C17</t>
  </si>
  <si>
    <t>15p</t>
  </si>
  <si>
    <t>Capacitor, MLCC, 15p, M0603, 25V, 5%, C0G</t>
  </si>
  <si>
    <t>GRM0335C1E150JA01D</t>
  </si>
  <si>
    <t>C240,C241,C243</t>
  </si>
  <si>
    <t>4.7u</t>
  </si>
  <si>
    <t>CAP, CHIP, 1005, 4.7u, 20%, 6.3V, X5R</t>
  </si>
  <si>
    <t>GRM155R60J475ME47J</t>
  </si>
  <si>
    <t>C242,C244,C245,C252</t>
  </si>
  <si>
    <t>1u</t>
  </si>
  <si>
    <t>Capacitor, MLCC, 1u, M0603, 6.3V, 20%, X5R</t>
  </si>
  <si>
    <t>GRM033R60J105ME11D</t>
  </si>
  <si>
    <t>C247,C272</t>
  </si>
  <si>
    <t>NF</t>
  </si>
  <si>
    <t>CAP, CHIP, 0603, NO FIT</t>
  </si>
  <si>
    <t>C249,C250</t>
  </si>
  <si>
    <t>10p</t>
  </si>
  <si>
    <t>CAP, CHIP, 0603, 10p, 5%, 25V</t>
  </si>
  <si>
    <t>GRM0335C1E100JA01D</t>
  </si>
  <si>
    <t>C257,C258</t>
  </si>
  <si>
    <t>18p</t>
  </si>
  <si>
    <t>CAP, CHIP, 0603, 18p, 5%, 25V</t>
  </si>
  <si>
    <t>GRM0335C1E180JA01D</t>
  </si>
  <si>
    <t>C260,C271</t>
  </si>
  <si>
    <t>0.2pF</t>
  </si>
  <si>
    <t>CAP, CHIP, 1005, 0.2pF, 50V, C0G, 0.05pF</t>
  </si>
  <si>
    <t>GJM1555C1HR20WB01D</t>
  </si>
  <si>
    <t>C261</t>
  </si>
  <si>
    <t>0.36pF</t>
  </si>
  <si>
    <t>CAP, CHIP, 1005, 0.36pF, 50V, C0G, 0.05pF</t>
  </si>
  <si>
    <t>GJM1555C1HR36WB01D</t>
  </si>
  <si>
    <t>C262</t>
  </si>
  <si>
    <t>0.3pF</t>
  </si>
  <si>
    <t>CAP, CHIP, 1005, 0.3pF, 50V, C0G, 0.05pF</t>
  </si>
  <si>
    <t>GJM1555C1HR30WB01D</t>
  </si>
  <si>
    <t>D1</t>
  </si>
  <si>
    <t>MBR120VLSFT1G</t>
  </si>
  <si>
    <t xml:space="preserve">Diode </t>
  </si>
  <si>
    <t>Diode, Schottky, 20V, 340mV@1A, 1A avg, SOD-123FL</t>
  </si>
  <si>
    <t>D2</t>
  </si>
  <si>
    <t>Green</t>
  </si>
  <si>
    <t>LED, SMT, Green, M1608</t>
  </si>
  <si>
    <t xml:space="preserve">150060VS83000 </t>
  </si>
  <si>
    <t>FB8</t>
  </si>
  <si>
    <t>600@100MHz</t>
  </si>
  <si>
    <t xml:space="preserve">Ferite Bead </t>
  </si>
  <si>
    <t>BEAD, CHIP, 1608, 600@100MHz, 380mR, 500mA</t>
  </si>
  <si>
    <t>BLM18AG601SN1</t>
  </si>
  <si>
    <t>FB9</t>
  </si>
  <si>
    <t>BEAD, CHIP, 0603, 600@100MHz, 1.5R, 100mA</t>
  </si>
  <si>
    <t>BLM03AG601SN1D</t>
  </si>
  <si>
    <t>FL1</t>
  </si>
  <si>
    <t>LFB212G45CG7D227</t>
  </si>
  <si>
    <t xml:space="preserve">active component(Signal Conditioning) </t>
  </si>
  <si>
    <t>2.4GHz Filter</t>
  </si>
  <si>
    <r>
      <rPr>
        <sz val="11"/>
        <rFont val="Calibri"/>
      </rPr>
      <t xml:space="preserve">LFB212G45CG7D227/ </t>
    </r>
    <r>
      <rPr>
        <u/>
        <sz val="11"/>
        <color rgb="FF1155CC"/>
        <rFont val="Calibri"/>
      </rPr>
      <t>DPX201990DT-4051A2</t>
    </r>
  </si>
  <si>
    <t>J0</t>
  </si>
  <si>
    <t>CON_PICO_40W-notfitted</t>
  </si>
  <si>
    <t xml:space="preserve">Connector Hardware </t>
  </si>
  <si>
    <t>PCB 40 way connector footprint</t>
  </si>
  <si>
    <t>TSW-120-07-L-D</t>
  </si>
  <si>
    <t>J1</t>
  </si>
  <si>
    <t>690-005-298-486</t>
  </si>
  <si>
    <t xml:space="preserve">Connector </t>
  </si>
  <si>
    <t>Socket, uUSB, B, RA, PTH/SMT</t>
  </si>
  <si>
    <t>J2</t>
  </si>
  <si>
    <t>CON_PICO_3W-notfitted</t>
  </si>
  <si>
    <t>3way 0.1" connector</t>
  </si>
  <si>
    <t>L1</t>
  </si>
  <si>
    <t xml:space="preserve">Inductor </t>
  </si>
  <si>
    <t>Inductor, SMT, 2520, 1u, IRMS 3.5A, ISAT=3.9A, DCR=0.102R</t>
  </si>
  <si>
    <t>SRN2512-1R0M</t>
  </si>
  <si>
    <t>L8</t>
  </si>
  <si>
    <t>INDUCTOR, CHIP, 1608, 2.2u,  250mA, 250mR, 20%</t>
  </si>
  <si>
    <t>LQM18PN2R2MGH</t>
  </si>
  <si>
    <t>L9</t>
  </si>
  <si>
    <t>4.7n</t>
  </si>
  <si>
    <t>INDUCTOR, CHIP, 0603, 4.7n,  280mA, 450mR, 3%</t>
  </si>
  <si>
    <t>LQP03HQ4n7H02D</t>
  </si>
  <si>
    <t>Q1</t>
  </si>
  <si>
    <t>DMG1012T</t>
  </si>
  <si>
    <t xml:space="preserve">Semiconductor Hardware </t>
  </si>
  <si>
    <t>Mosfet, N, SOT523, Vt=1V, Vgs=6V, Vds=20V, 450mA, 280mW</t>
  </si>
  <si>
    <t>R1,R6,R10,R88</t>
  </si>
  <si>
    <t>10K</t>
  </si>
  <si>
    <t xml:space="preserve">Resistor </t>
  </si>
  <si>
    <t>RES, CHIP, 0603, 10K, 1%, 0.05W</t>
  </si>
  <si>
    <t>R2,R8,R20</t>
  </si>
  <si>
    <t>100K</t>
  </si>
  <si>
    <t>Resistor, Chip, 100K, M0603, 50mW, 1%</t>
  </si>
  <si>
    <t>RK73H1HTTCM1003F</t>
  </si>
  <si>
    <t>R3</t>
  </si>
  <si>
    <t>470R</t>
  </si>
  <si>
    <t>Resistor, Chip, 470R, M0603, 50mW, 1%</t>
  </si>
  <si>
    <t>R5</t>
  </si>
  <si>
    <t>20K</t>
  </si>
  <si>
    <t>Resistor, Chip, 20K, M0603, 50mW, 1%</t>
  </si>
  <si>
    <t>R7</t>
  </si>
  <si>
    <t>200R</t>
  </si>
  <si>
    <t>Resistor, Chip, 200R, M1608, 100mW, 1%</t>
  </si>
  <si>
    <t>RC0603FR-07200RL</t>
  </si>
  <si>
    <t>R9</t>
  </si>
  <si>
    <t>1R</t>
  </si>
  <si>
    <t>Resistor, Chip, 1R, M1005, 63mW, 1%</t>
  </si>
  <si>
    <t>RC0402FR-071RL</t>
  </si>
  <si>
    <t>R11,R14</t>
  </si>
  <si>
    <t>1K</t>
  </si>
  <si>
    <t>Resistor, Chip, 1K, M0603, 50mW, 1%</t>
  </si>
  <si>
    <t>R12,R13</t>
  </si>
  <si>
    <t>27R</t>
  </si>
  <si>
    <t>Resistor, Chip, 27R, M0603, 50mW, 1%</t>
  </si>
  <si>
    <t>RC0201FR-0727RL</t>
  </si>
  <si>
    <t>0201</t>
  </si>
  <si>
    <t>R21</t>
  </si>
  <si>
    <t>560K</t>
  </si>
  <si>
    <t>Resistor, Chip, 560K, M0603, 50mW, 1%</t>
  </si>
  <si>
    <t>RK73H1HTTCM5603F</t>
  </si>
  <si>
    <t>0402</t>
  </si>
  <si>
    <t>R80</t>
  </si>
  <si>
    <t>22R</t>
  </si>
  <si>
    <t>RES, CHIP, 0603, 22R, 1%, 0.05W</t>
  </si>
  <si>
    <t>RK73H1HTTC22R0F</t>
  </si>
  <si>
    <t>0603</t>
  </si>
  <si>
    <t>R81</t>
  </si>
  <si>
    <t>220R</t>
  </si>
  <si>
    <t>RES, CHIP, 0603, 220R, 1%, 0.05W</t>
  </si>
  <si>
    <t>MCR006YLPF2200</t>
  </si>
  <si>
    <t>0805</t>
  </si>
  <si>
    <t>R86</t>
  </si>
  <si>
    <t>0R</t>
  </si>
  <si>
    <t>RES, CHIP, 0603, 0R, 1%, 0.05W</t>
  </si>
  <si>
    <t>RK73Z1HTTCM</t>
  </si>
  <si>
    <t>R87</t>
  </si>
  <si>
    <t>SH1</t>
  </si>
  <si>
    <t>SHJJ-031306</t>
  </si>
  <si>
    <t xml:space="preserve">metals </t>
  </si>
  <si>
    <t>WiFi/BT Shield Can 12.0x10.0x1.7mm SPTE Tin 0.2mm</t>
  </si>
  <si>
    <t>SW1</t>
  </si>
  <si>
    <t>TP-1221U-K9K5325</t>
  </si>
  <si>
    <t xml:space="preserve">Switches </t>
  </si>
  <si>
    <t>Tact pushbutton, N.O., 4.5x3.4x2.5mm</t>
  </si>
  <si>
    <r>
      <rPr>
        <sz val="11"/>
        <rFont val="Calibri"/>
      </rPr>
      <t xml:space="preserve">TP-1221U-K9K5325/ </t>
    </r>
    <r>
      <rPr>
        <u/>
        <sz val="11"/>
        <color rgb="FF1155CC"/>
        <rFont val="Calibri"/>
      </rPr>
      <t>FSMMSH</t>
    </r>
  </si>
  <si>
    <t>TP1,TP2,TP3,TP4,TP5,TP6</t>
  </si>
  <si>
    <t>SQ1P5MM</t>
  </si>
  <si>
    <t>Test point, SMT, square with rounded corners, 1.5mm</t>
  </si>
  <si>
    <t>TP_SMT_SQUARERC_1P5MM</t>
  </si>
  <si>
    <t>X1</t>
  </si>
  <si>
    <t>12MHz</t>
  </si>
  <si>
    <t>Xtal, SMT, 3.2x2.5mm, 30ppm, 50R, Fundamental, 10p load, 12MHz</t>
  </si>
  <si>
    <r>
      <rPr>
        <sz val="11"/>
        <rFont val="Calibri"/>
      </rPr>
      <t xml:space="preserve">X12M000000S096/ </t>
    </r>
    <r>
      <rPr>
        <u/>
        <sz val="11"/>
        <color rgb="FF1155CC"/>
        <rFont val="Calibri"/>
      </rPr>
      <t>SM10T-18-12.0M-30G1LK</t>
    </r>
  </si>
  <si>
    <t>X2</t>
  </si>
  <si>
    <t>37.4MHz</t>
  </si>
  <si>
    <t>XTAL, SMT, 37.4MHz, 50R, 1.6x1.2mm</t>
  </si>
  <si>
    <r>
      <rPr>
        <sz val="11"/>
        <rFont val="Calibri"/>
      </rPr>
      <t xml:space="preserve">X37M400000S002/ </t>
    </r>
    <r>
      <rPr>
        <u/>
        <sz val="11"/>
        <color rgb="FF1155CC"/>
        <rFont val="Calibri"/>
      </rPr>
      <t>FA-118T 27.1200MD50Z-K3</t>
    </r>
  </si>
  <si>
    <t xml:space="preserve">              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</si>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</sst>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7" x14ac:knownFonts="1">
    <font>
      <sz val="11"/>
      <color theme="1"/>
      <name val="Aptos Narrow"/>
      <family val="2"/>
      <scheme val="minor"/>
    </font>
    <font>
      <b/>
      <sz val="12"/>
      <color rgb="FF222222"/>
      <name val="Open Sans"/>
    </font>
    <font>
      <b/>
      <sz val="12"/>
      <color theme="1"/>
      <name val="Aptos Narrow"/>
      <scheme val="minor"/>
    </font>
    <font>
      <b/>
      <sz val="12"/>
      <color theme="1"/>
      <name val="Arial"/>
    </font>
    <font>
      <sz val="10"/>
      <color theme="1"/>
      <name val="Arial"/>
    </font>
    <font>
      <sz val="12"/>
      <color theme="1"/>
      <name val="Arial"/>
    </font>
    <font>
      <sz val="10"/>
      <color theme="1"/>
      <name val="Aptos Narrow"/>
      <scheme val="minor"/>
    </font>
    <font>
      <sz val="11"/>
      <color theme="1"/>
      <name val="Calibri"/>
    </font>
    <font>
      <u/>
      <sz val="10"/>
      <color rgb="FF1155CC"/>
      <name val="Arial"/>
    </font>
    <font>
      <u/>
      <sz val="12"/>
      <color rgb="FF1155CC"/>
      <name val="Roboto"/>
    </font>
    <font>
      <u/>
      <sz val="10"/>
      <color rgb="FF0000FF"/>
      <name val="Arial"/>
    </font>
    <font>
      <u/>
      <sz val="11"/>
      <color rgb="FF0000FF"/>
      <name val="Calibri"/>
    </font>
    <font>
      <sz val="11"/>
      <name val="Calibri"/>
    </font>
    <font>
      <u/>
      <sz val="11"/>
      <color rgb="FF1155CC"/>
      <name val="Calibri"/>
    </font>
    <font>
      <u/>
      <sz val="11"/>
      <color rgb="FF1155CC"/>
      <name val="Arial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7" fillId="4" borderId="0" xfId="0" applyFont="1" applyFill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wrapText="1"/>
    </xf>
    <xf numFmtId="0" fontId="9" fillId="2" borderId="0" xfId="0" applyFont="1" applyFill="1"/>
    <xf numFmtId="0" fontId="6" fillId="4" borderId="0" xfId="0" applyFont="1" applyFill="1" applyAlignment="1">
      <alignment horizontal="left" wrapText="1"/>
    </xf>
    <xf numFmtId="0" fontId="10" fillId="0" borderId="0" xfId="0" applyFont="1"/>
    <xf numFmtId="0" fontId="4" fillId="2" borderId="0" xfId="0" applyFont="1" applyFill="1"/>
    <xf numFmtId="0" fontId="11" fillId="0" borderId="0" xfId="0" applyFont="1" applyAlignment="1">
      <alignment wrapText="1"/>
    </xf>
    <xf numFmtId="0" fontId="6" fillId="4" borderId="0" xfId="0" applyFont="1" applyFill="1"/>
    <xf numFmtId="4" fontId="6" fillId="0" borderId="0" xfId="0" applyNumberFormat="1" applyFont="1"/>
    <xf numFmtId="0" fontId="4" fillId="0" borderId="0" xfId="0" applyFont="1" applyAlignment="1">
      <alignment horizontal="left"/>
    </xf>
    <xf numFmtId="0" fontId="7" fillId="4" borderId="0" xfId="0" applyFont="1" applyFill="1" applyAlignment="1">
      <alignment horizontal="right"/>
    </xf>
    <xf numFmtId="0" fontId="8" fillId="0" borderId="0" xfId="0" applyFont="1"/>
    <xf numFmtId="0" fontId="8" fillId="0" borderId="0" xfId="0" applyFont="1" applyAlignment="1">
      <alignment wrapText="1"/>
    </xf>
    <xf numFmtId="0" fontId="8" fillId="2" borderId="0" xfId="0" applyFont="1" applyFill="1"/>
    <xf numFmtId="0" fontId="5" fillId="0" borderId="0" xfId="0" quotePrefix="1" applyFont="1"/>
    <xf numFmtId="0" fontId="4" fillId="0" borderId="0" xfId="0" applyFont="1" applyAlignment="1">
      <alignment wrapText="1"/>
    </xf>
    <xf numFmtId="0" fontId="6" fillId="3" borderId="0" xfId="0" applyFont="1" applyFill="1"/>
    <xf numFmtId="0" fontId="6" fillId="3" borderId="0" xfId="0" applyFont="1" applyFill="1" applyAlignment="1">
      <alignment wrapText="1"/>
    </xf>
    <xf numFmtId="165" fontId="6" fillId="3" borderId="0" xfId="0" applyNumberFormat="1" applyFont="1" applyFill="1"/>
    <xf numFmtId="0" fontId="14" fillId="0" borderId="0" xfId="0" applyFont="1"/>
    <xf numFmtId="0" fontId="14" fillId="0" borderId="0" xfId="0" applyFont="1" applyAlignment="1">
      <alignment wrapText="1"/>
    </xf>
    <xf numFmtId="10" fontId="6" fillId="0" borderId="0" xfId="0" applyNumberFormat="1" applyFont="1"/>
    <xf numFmtId="0" fontId="14" fillId="2" borderId="0" xfId="0" applyFont="1" applyFill="1"/>
    <xf numFmtId="0" fontId="14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zb75\Downloads\Copy%20of%20Results%20Dashboard%20w_%20New%20EcoInvent%20Data(1).xlsx" TargetMode="External"/><Relationship Id="rId1" Type="http://schemas.openxmlformats.org/officeDocument/2006/relationships/externalLinkPath" Target="/Users/szb75/Downloads/Copy%20of%20Results%20Dashboard%20w_%20New%20EcoInvent%20Data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  <sheetName val="HotCarbon_Results"/>
      <sheetName val="DecemberResults"/>
      <sheetName val="Rasberry Pi Results"/>
      <sheetName val="ICs"/>
      <sheetName val="RPi ICs"/>
      <sheetName val="reference"/>
      <sheetName val="Methodology"/>
      <sheetName val="Max Power Draw"/>
      <sheetName val="Arduino Nano 33 BLE Sense With "/>
      <sheetName val="Arduino Nano 33 BLE Sense NINA-"/>
      <sheetName val="Arduino Uno R3"/>
      <sheetName val="Analog Devices Max78000FTHR"/>
      <sheetName val="Coral Dev Micro"/>
      <sheetName val="nRF52840 Minimal"/>
      <sheetName val="Adafruit HUZZAH32 – ESP32"/>
      <sheetName val="STM32F411E"/>
      <sheetName val="Copy of STM32F411E"/>
      <sheetName val="RPi 4 BoM Official"/>
      <sheetName val="RPi 4 LCA Calculations"/>
      <sheetName val="RPi 4 Comparison"/>
      <sheetName val="RPi Official 3A+"/>
      <sheetName val="Raspberry Pi 3 A+"/>
      <sheetName val="Raspberry Pi Pico"/>
      <sheetName val="Raspberry Pi Pico W"/>
      <sheetName val="RPi Pico W Official"/>
      <sheetName val="RPi Pico W Comparison"/>
      <sheetName val="Raspberry Pi Pico 2"/>
      <sheetName val="Pico Minimal"/>
      <sheetName val="Minimal v 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F3" t="str">
            <v>RP2040 - RP2B1MicroController</v>
          </cell>
          <cell r="N3">
            <v>2.7223428430714701E-2</v>
          </cell>
        </row>
        <row r="4">
          <cell r="F4" t="str">
            <v>Buck bosst switchmode PSU</v>
          </cell>
          <cell r="N4">
            <v>2.5415230232364645E-2</v>
          </cell>
        </row>
        <row r="5">
          <cell r="F5" t="str">
            <v>Serial NOR Flash, QSPI, 16MBit, 8-pin USON 2x3mm 133MHz</v>
          </cell>
          <cell r="N5">
            <v>3.0000000000000001E-5</v>
          </cell>
        </row>
        <row r="6">
          <cell r="F6" t="str">
            <v>BT WIFI FM Combo</v>
          </cell>
          <cell r="N6">
            <v>6.4557524875935024E-2</v>
          </cell>
        </row>
      </sheetData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com/us/en-us/details/690-005-298-486/usb-ieee1394-connectors/edac/" TargetMode="External"/><Relationship Id="rId13" Type="http://schemas.openxmlformats.org/officeDocument/2006/relationships/hyperlink" Target="https://www.mouser.com/ProductDetail/Epson-Timing/FA-118T-27.1200MD50Z-K3?qs=f9yNj16SXrL30ivkOSycAA%3D%3D" TargetMode="External"/><Relationship Id="rId3" Type="http://schemas.openxmlformats.org/officeDocument/2006/relationships/hyperlink" Target="https://www.mouser.com/ProductDetail/Wurth-Elektronik/150060VS83000?qs=sGAEpiMZZMv0DJfhVcWlK8AiAHwfAGPKOn%252BI7ZZZ5B0gKCRU9b%252BNCw%3D%3D" TargetMode="External"/><Relationship Id="rId7" Type="http://schemas.openxmlformats.org/officeDocument/2006/relationships/hyperlink" Target="https://www.mouser.com/ProductDetail/Samtec/TSW-120-07-L-D?qs=rU5fayqh%252BE1YSi%252BSoApxaA%3D%3D" TargetMode="External"/><Relationship Id="rId12" Type="http://schemas.openxmlformats.org/officeDocument/2006/relationships/hyperlink" Target="https://www.mouser.com/ProductDetail/Pletronics-Inc/SM10T-18-12.0M-30G1LK?qs=dHOEZjiJ3XPFshrbziBOew%3D%3D" TargetMode="External"/><Relationship Id="rId2" Type="http://schemas.openxmlformats.org/officeDocument/2006/relationships/hyperlink" Target="https://www.mouser.com/ProductDetail/onsemi/MBR120VLSFT1G?qs=3JMERSakebpX%252BkItPpFCkg%3D%3D" TargetMode="External"/><Relationship Id="rId1" Type="http://schemas.openxmlformats.org/officeDocument/2006/relationships/hyperlink" Target="https://datasheets.raspberrypi.com/pico/pico-datasheet.pdf" TargetMode="External"/><Relationship Id="rId6" Type="http://schemas.openxmlformats.org/officeDocument/2006/relationships/hyperlink" Target="https://www.mouser.com/ProductDetail/TDK/DPX201990DT-4051A2?qs=ScVz0h70jCIydGMEt0zohw%3D%3D" TargetMode="External"/><Relationship Id="rId11" Type="http://schemas.openxmlformats.org/officeDocument/2006/relationships/hyperlink" Target="https://www.mouser.com/ProductDetail/TE-Connectivity-PB/FSMMSH?qs=qzQkFgQjdxW8Dw%252BB6sYjcw%3D%3D" TargetMode="External"/><Relationship Id="rId5" Type="http://schemas.openxmlformats.org/officeDocument/2006/relationships/hyperlink" Target="https://www.mouser.com/ProductDetail/Murata-Electronics/BLM18AG601SN1D?qs=eh6oC%2F9l24oGGaJFkAJJAA%3D%3D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mouser.com/ProductDetail/Diodes-Incorporated/DMG1012T-7?qs=vIZ3oKQCLxoEnfyeB0HcGQ%3D%3D&amp;srsltid=AfmBOoqwLgfmPQxeWQBrtmpKEfv9G4ctJhqvkXU2xRT2H2KZ5wvJGAwS" TargetMode="External"/><Relationship Id="rId4" Type="http://schemas.openxmlformats.org/officeDocument/2006/relationships/hyperlink" Target="https://www.mouser.com/ProductDetail/Murata-Electronics/BLM18AG601SN1?qs=%2F7R%2FnUXKGojg1nrY%252BGcFVg%3D%3D" TargetMode="External"/><Relationship Id="rId9" Type="http://schemas.openxmlformats.org/officeDocument/2006/relationships/hyperlink" Target="https://www.mouser.com/ProductDetail/Bourns/SRN2512-1R0M?qs=U0ECReq1GB9qICUtKbriKw%3D%3D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DB9-3E89-4895-A467-337B90A88803}">
  <dimension ref="A1:AA1035"/>
  <sheetViews>
    <sheetView tabSelected="1" workbookViewId="0">
      <selection activeCell="I6" sqref="I6"/>
    </sheetView>
  </sheetViews>
  <sheetFormatPr defaultColWidth="12.6328125" defaultRowHeight="15.75" customHeight="1" x14ac:dyDescent="0.35"/>
  <cols>
    <col min="2" max="2" width="10.6328125" customWidth="1"/>
    <col min="3" max="3" width="17.08984375" customWidth="1"/>
    <col min="4" max="4" width="23.453125" customWidth="1"/>
    <col min="5" max="5" width="18.36328125" customWidth="1"/>
    <col min="6" max="6" width="26" customWidth="1"/>
    <col min="8" max="8" width="16.453125" customWidth="1"/>
  </cols>
  <sheetData>
    <row r="1" spans="1:27" ht="32.5" x14ac:dyDescent="0.5">
      <c r="A1" s="2" t="s">
        <v>194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  <c r="M1" s="4"/>
      <c r="N1" s="4"/>
      <c r="O1" s="5"/>
      <c r="P1" s="4"/>
      <c r="Q1" s="5"/>
      <c r="T1" s="6"/>
      <c r="U1" s="6"/>
      <c r="V1" s="6"/>
      <c r="W1" s="6"/>
      <c r="X1" s="4"/>
      <c r="Y1" s="4"/>
      <c r="Z1" s="4"/>
      <c r="AA1" s="4"/>
    </row>
    <row r="2" spans="1:27" ht="15.5" x14ac:dyDescent="0.35">
      <c r="A2" s="10" t="s">
        <v>10</v>
      </c>
      <c r="B2" s="11">
        <v>1</v>
      </c>
      <c r="C2" s="12" t="s">
        <v>11</v>
      </c>
      <c r="D2" s="7" t="s">
        <v>12</v>
      </c>
      <c r="E2" s="12" t="s">
        <v>13</v>
      </c>
      <c r="G2" s="7"/>
      <c r="H2" s="13" t="s">
        <v>14</v>
      </c>
      <c r="T2" s="5"/>
      <c r="U2" s="9"/>
      <c r="V2" s="9"/>
      <c r="W2" s="9"/>
    </row>
    <row r="3" spans="1:27" ht="15.5" x14ac:dyDescent="0.35">
      <c r="A3" s="10" t="s">
        <v>15</v>
      </c>
      <c r="B3" s="11">
        <v>1</v>
      </c>
      <c r="C3" s="12" t="s">
        <v>16</v>
      </c>
      <c r="D3" s="7" t="s">
        <v>17</v>
      </c>
      <c r="E3" s="12" t="s">
        <v>18</v>
      </c>
      <c r="G3" s="7"/>
      <c r="H3" s="13" t="s">
        <v>16</v>
      </c>
      <c r="T3" s="5"/>
      <c r="U3" s="9"/>
      <c r="V3" s="9"/>
      <c r="W3" s="9"/>
    </row>
    <row r="4" spans="1:27" ht="15.5" x14ac:dyDescent="0.35">
      <c r="A4" s="10" t="s">
        <v>19</v>
      </c>
      <c r="B4" s="11">
        <v>1</v>
      </c>
      <c r="C4" s="12" t="s">
        <v>20</v>
      </c>
      <c r="D4" s="7" t="s">
        <v>17</v>
      </c>
      <c r="E4" s="12" t="s">
        <v>21</v>
      </c>
      <c r="G4" s="14"/>
      <c r="H4" s="13" t="s">
        <v>20</v>
      </c>
      <c r="T4" s="5"/>
      <c r="U4" s="9"/>
      <c r="V4" s="9"/>
      <c r="W4" s="9"/>
    </row>
    <row r="5" spans="1:27" ht="15.5" x14ac:dyDescent="0.35">
      <c r="A5" s="10" t="s">
        <v>22</v>
      </c>
      <c r="B5" s="11">
        <v>1</v>
      </c>
      <c r="C5" s="12" t="s">
        <v>23</v>
      </c>
      <c r="D5" s="7" t="s">
        <v>17</v>
      </c>
      <c r="E5" s="12" t="s">
        <v>24</v>
      </c>
      <c r="H5" s="13" t="s">
        <v>23</v>
      </c>
      <c r="T5" s="5"/>
      <c r="U5" s="9"/>
      <c r="V5" s="9"/>
      <c r="W5" s="9"/>
    </row>
    <row r="6" spans="1:27" ht="15.5" x14ac:dyDescent="0.35">
      <c r="A6" s="15">
        <v>1</v>
      </c>
      <c r="B6" s="8"/>
      <c r="C6" s="8" t="s">
        <v>25</v>
      </c>
      <c r="D6" s="8" t="s">
        <v>25</v>
      </c>
      <c r="E6" s="8"/>
      <c r="F6" s="8"/>
      <c r="G6" s="7"/>
      <c r="H6" s="8"/>
      <c r="I6" s="7">
        <f>51*21</f>
        <v>1071</v>
      </c>
      <c r="J6" s="7">
        <v>2</v>
      </c>
      <c r="K6" s="16">
        <v>1</v>
      </c>
      <c r="T6" s="5"/>
      <c r="U6" s="9"/>
      <c r="V6" s="9"/>
      <c r="W6" s="9"/>
    </row>
    <row r="7" spans="1:27" ht="29" x14ac:dyDescent="0.35">
      <c r="A7" s="10" t="s">
        <v>26</v>
      </c>
      <c r="B7" s="11">
        <v>3</v>
      </c>
      <c r="C7" s="12" t="s">
        <v>27</v>
      </c>
      <c r="D7" s="7" t="s">
        <v>28</v>
      </c>
      <c r="E7" s="12" t="s">
        <v>29</v>
      </c>
      <c r="F7" s="8"/>
      <c r="H7" s="13" t="s">
        <v>30</v>
      </c>
      <c r="T7" s="5"/>
      <c r="U7" s="9"/>
      <c r="V7" s="9"/>
      <c r="W7" s="9"/>
    </row>
    <row r="8" spans="1:27" ht="29" x14ac:dyDescent="0.35">
      <c r="A8" s="10" t="s">
        <v>31</v>
      </c>
      <c r="B8" s="11">
        <v>13</v>
      </c>
      <c r="C8" s="12" t="s">
        <v>32</v>
      </c>
      <c r="D8" s="7" t="s">
        <v>28</v>
      </c>
      <c r="E8" s="12" t="s">
        <v>33</v>
      </c>
      <c r="F8" s="8"/>
      <c r="G8" s="17"/>
      <c r="H8" s="13" t="s">
        <v>34</v>
      </c>
      <c r="T8" s="5"/>
      <c r="U8" s="9"/>
      <c r="V8" s="9"/>
      <c r="W8" s="9"/>
    </row>
    <row r="9" spans="1:27" ht="29" x14ac:dyDescent="0.35">
      <c r="A9" s="10" t="s">
        <v>35</v>
      </c>
      <c r="B9" s="11">
        <v>6</v>
      </c>
      <c r="C9" s="12" t="s">
        <v>36</v>
      </c>
      <c r="D9" s="7" t="s">
        <v>28</v>
      </c>
      <c r="E9" s="12" t="s">
        <v>37</v>
      </c>
      <c r="F9" s="8"/>
      <c r="G9" s="17"/>
      <c r="H9" s="13" t="s">
        <v>38</v>
      </c>
      <c r="T9" s="5"/>
      <c r="U9" s="9"/>
      <c r="V9" s="9"/>
      <c r="W9" s="9"/>
    </row>
    <row r="10" spans="1:27" ht="29" x14ac:dyDescent="0.35">
      <c r="A10" s="10" t="s">
        <v>39</v>
      </c>
      <c r="B10" s="11">
        <v>2</v>
      </c>
      <c r="C10" s="12" t="s">
        <v>40</v>
      </c>
      <c r="D10" s="7" t="s">
        <v>28</v>
      </c>
      <c r="E10" s="12" t="s">
        <v>41</v>
      </c>
      <c r="F10" s="8"/>
      <c r="G10" s="17"/>
      <c r="H10" s="13" t="s">
        <v>42</v>
      </c>
      <c r="T10" s="5"/>
      <c r="U10" s="9"/>
      <c r="V10" s="9"/>
      <c r="W10" s="9"/>
    </row>
    <row r="11" spans="1:27" ht="29" x14ac:dyDescent="0.35">
      <c r="A11" s="10" t="s">
        <v>43</v>
      </c>
      <c r="B11" s="11">
        <v>3</v>
      </c>
      <c r="C11" s="12" t="s">
        <v>44</v>
      </c>
      <c r="D11" s="7" t="s">
        <v>28</v>
      </c>
      <c r="E11" s="12" t="s">
        <v>45</v>
      </c>
      <c r="F11" s="8"/>
      <c r="G11" s="17"/>
      <c r="H11" s="13" t="s">
        <v>46</v>
      </c>
      <c r="T11" s="5"/>
      <c r="U11" s="9"/>
      <c r="V11" s="9"/>
      <c r="W11" s="9"/>
    </row>
    <row r="12" spans="1:27" ht="29" x14ac:dyDescent="0.35">
      <c r="A12" s="10" t="s">
        <v>47</v>
      </c>
      <c r="B12" s="11">
        <v>4</v>
      </c>
      <c r="C12" s="12" t="s">
        <v>48</v>
      </c>
      <c r="D12" s="7" t="s">
        <v>28</v>
      </c>
      <c r="E12" s="12" t="s">
        <v>49</v>
      </c>
      <c r="F12" s="8"/>
      <c r="G12" s="17"/>
      <c r="H12" s="13" t="s">
        <v>50</v>
      </c>
      <c r="T12" s="5"/>
      <c r="U12" s="9"/>
      <c r="V12" s="9"/>
      <c r="W12" s="9"/>
    </row>
    <row r="13" spans="1:27" ht="15.5" x14ac:dyDescent="0.35">
      <c r="A13" s="10" t="s">
        <v>51</v>
      </c>
      <c r="B13" s="11">
        <v>2</v>
      </c>
      <c r="C13" s="12" t="s">
        <v>52</v>
      </c>
      <c r="D13" s="7" t="s">
        <v>28</v>
      </c>
      <c r="E13" s="12" t="s">
        <v>53</v>
      </c>
      <c r="F13" s="8"/>
      <c r="G13" s="4"/>
      <c r="H13" s="13"/>
      <c r="T13" s="5"/>
      <c r="U13" s="9"/>
      <c r="V13" s="9"/>
      <c r="W13" s="9"/>
    </row>
    <row r="14" spans="1:27" ht="29" x14ac:dyDescent="0.35">
      <c r="A14" s="10" t="s">
        <v>54</v>
      </c>
      <c r="B14" s="11">
        <v>2</v>
      </c>
      <c r="C14" s="12" t="s">
        <v>55</v>
      </c>
      <c r="D14" s="7" t="s">
        <v>28</v>
      </c>
      <c r="E14" s="12" t="s">
        <v>56</v>
      </c>
      <c r="F14" s="8"/>
      <c r="G14" s="17"/>
      <c r="H14" s="13" t="s">
        <v>57</v>
      </c>
      <c r="T14" s="5"/>
      <c r="U14" s="9"/>
      <c r="V14" s="9"/>
      <c r="W14" s="9"/>
    </row>
    <row r="15" spans="1:27" ht="29" x14ac:dyDescent="0.35">
      <c r="A15" s="10" t="s">
        <v>58</v>
      </c>
      <c r="B15" s="11">
        <v>2</v>
      </c>
      <c r="C15" s="12" t="s">
        <v>59</v>
      </c>
      <c r="D15" s="7" t="s">
        <v>28</v>
      </c>
      <c r="E15" s="12" t="s">
        <v>60</v>
      </c>
      <c r="F15" s="8"/>
      <c r="G15" s="17"/>
      <c r="H15" s="13" t="s">
        <v>61</v>
      </c>
      <c r="T15" s="5"/>
      <c r="U15" s="9"/>
      <c r="V15" s="9"/>
      <c r="W15" s="9"/>
    </row>
    <row r="16" spans="1:27" ht="29" x14ac:dyDescent="0.35">
      <c r="A16" s="10" t="s">
        <v>62</v>
      </c>
      <c r="B16" s="11">
        <v>2</v>
      </c>
      <c r="C16" s="12" t="s">
        <v>63</v>
      </c>
      <c r="D16" s="7" t="s">
        <v>28</v>
      </c>
      <c r="E16" s="12" t="s">
        <v>64</v>
      </c>
      <c r="F16" s="8"/>
      <c r="G16" s="17"/>
      <c r="H16" s="13" t="s">
        <v>65</v>
      </c>
      <c r="T16" s="5"/>
      <c r="U16" s="9"/>
      <c r="V16" s="9"/>
      <c r="W16" s="9"/>
    </row>
    <row r="17" spans="1:23" ht="29" x14ac:dyDescent="0.35">
      <c r="A17" s="10" t="s">
        <v>66</v>
      </c>
      <c r="B17" s="11">
        <v>1</v>
      </c>
      <c r="C17" s="12" t="s">
        <v>67</v>
      </c>
      <c r="D17" s="7" t="s">
        <v>28</v>
      </c>
      <c r="E17" s="12" t="s">
        <v>68</v>
      </c>
      <c r="F17" s="8"/>
      <c r="G17" s="17"/>
      <c r="H17" s="13" t="s">
        <v>69</v>
      </c>
      <c r="T17" s="5"/>
      <c r="U17" s="9"/>
      <c r="V17" s="9"/>
      <c r="W17" s="9"/>
    </row>
    <row r="18" spans="1:23" ht="29" x14ac:dyDescent="0.35">
      <c r="A18" s="10" t="s">
        <v>70</v>
      </c>
      <c r="B18" s="11">
        <v>1</v>
      </c>
      <c r="C18" s="12" t="s">
        <v>71</v>
      </c>
      <c r="D18" s="7" t="s">
        <v>28</v>
      </c>
      <c r="E18" s="12" t="s">
        <v>72</v>
      </c>
      <c r="F18" s="8"/>
      <c r="G18" s="7"/>
      <c r="H18" s="13" t="s">
        <v>73</v>
      </c>
      <c r="T18" s="5"/>
      <c r="U18" s="9"/>
      <c r="V18" s="9"/>
      <c r="W18" s="9"/>
    </row>
    <row r="19" spans="1:23" ht="15.5" x14ac:dyDescent="0.35">
      <c r="A19" s="10" t="s">
        <v>74</v>
      </c>
      <c r="B19" s="11">
        <v>1</v>
      </c>
      <c r="C19" s="12" t="s">
        <v>75</v>
      </c>
      <c r="D19" s="7" t="s">
        <v>76</v>
      </c>
      <c r="E19" s="12" t="s">
        <v>77</v>
      </c>
      <c r="F19" s="8"/>
      <c r="G19" s="17">
        <v>1.1708353050625E-5</v>
      </c>
      <c r="H19" s="18" t="s">
        <v>75</v>
      </c>
      <c r="T19" s="5"/>
      <c r="U19" s="9"/>
      <c r="V19" s="9"/>
      <c r="W19" s="9"/>
    </row>
    <row r="20" spans="1:23" ht="15.5" x14ac:dyDescent="0.35">
      <c r="A20" s="10" t="s">
        <v>78</v>
      </c>
      <c r="B20" s="11">
        <v>1</v>
      </c>
      <c r="C20" s="12" t="s">
        <v>79</v>
      </c>
      <c r="D20" s="7" t="s">
        <v>76</v>
      </c>
      <c r="E20" s="12" t="s">
        <v>80</v>
      </c>
      <c r="F20" s="8"/>
      <c r="G20" s="17">
        <v>1.502524725625E-6</v>
      </c>
      <c r="H20" s="18" t="s">
        <v>81</v>
      </c>
      <c r="T20" s="5"/>
      <c r="U20" s="9"/>
      <c r="V20" s="9"/>
      <c r="W20" s="9"/>
    </row>
    <row r="21" spans="1:23" ht="15.5" x14ac:dyDescent="0.35">
      <c r="A21" s="10" t="s">
        <v>82</v>
      </c>
      <c r="B21" s="11">
        <v>1</v>
      </c>
      <c r="C21" s="12" t="s">
        <v>83</v>
      </c>
      <c r="D21" s="7" t="s">
        <v>84</v>
      </c>
      <c r="E21" s="12" t="s">
        <v>85</v>
      </c>
      <c r="F21" s="8"/>
      <c r="G21" s="17">
        <v>2.0128161418750003E-6</v>
      </c>
      <c r="H21" s="18" t="s">
        <v>86</v>
      </c>
      <c r="T21" s="5"/>
      <c r="U21" s="9"/>
      <c r="V21" s="9"/>
      <c r="W21" s="9"/>
    </row>
    <row r="22" spans="1:23" ht="15.5" x14ac:dyDescent="0.35">
      <c r="A22" s="10" t="s">
        <v>87</v>
      </c>
      <c r="B22" s="11">
        <v>1</v>
      </c>
      <c r="C22" s="12" t="s">
        <v>83</v>
      </c>
      <c r="D22" s="7" t="s">
        <v>84</v>
      </c>
      <c r="E22" s="12" t="s">
        <v>88</v>
      </c>
      <c r="F22" s="8"/>
      <c r="G22" s="17">
        <v>3.5011661059374999E-5</v>
      </c>
      <c r="H22" s="18" t="s">
        <v>89</v>
      </c>
      <c r="T22" s="5"/>
      <c r="U22" s="9"/>
      <c r="V22" s="9"/>
      <c r="W22" s="9"/>
    </row>
    <row r="23" spans="1:23" ht="43.5" x14ac:dyDescent="0.35">
      <c r="A23" s="10" t="s">
        <v>90</v>
      </c>
      <c r="B23" s="11">
        <v>1</v>
      </c>
      <c r="C23" s="12" t="s">
        <v>91</v>
      </c>
      <c r="D23" s="19" t="s">
        <v>92</v>
      </c>
      <c r="E23" s="12" t="s">
        <v>93</v>
      </c>
      <c r="F23" s="8"/>
      <c r="G23" s="17">
        <v>7.9945655212500003E-6</v>
      </c>
      <c r="H23" s="18" t="s">
        <v>94</v>
      </c>
    </row>
    <row r="24" spans="1:23" ht="14.5" x14ac:dyDescent="0.35">
      <c r="A24" s="10" t="s">
        <v>95</v>
      </c>
      <c r="B24" s="11">
        <v>1</v>
      </c>
      <c r="C24" s="12" t="s">
        <v>96</v>
      </c>
      <c r="D24" s="12" t="s">
        <v>97</v>
      </c>
      <c r="E24" s="12" t="s">
        <v>98</v>
      </c>
      <c r="F24" s="8"/>
      <c r="G24" s="17">
        <v>7.1279205993187496E-4</v>
      </c>
      <c r="H24" s="16" t="s">
        <v>99</v>
      </c>
    </row>
    <row r="25" spans="1:23" ht="14.5" x14ac:dyDescent="0.35">
      <c r="A25" s="10" t="s">
        <v>100</v>
      </c>
      <c r="B25" s="11">
        <v>1</v>
      </c>
      <c r="C25" s="12" t="s">
        <v>101</v>
      </c>
      <c r="D25" s="7" t="s">
        <v>102</v>
      </c>
      <c r="E25" s="12" t="s">
        <v>103</v>
      </c>
      <c r="F25" s="8"/>
      <c r="G25" s="4">
        <v>2.8399999450924064E-4</v>
      </c>
      <c r="H25" s="18" t="s">
        <v>101</v>
      </c>
      <c r="S25" s="20"/>
    </row>
    <row r="26" spans="1:23" ht="14.5" x14ac:dyDescent="0.35">
      <c r="A26" s="10" t="s">
        <v>104</v>
      </c>
      <c r="B26" s="11">
        <v>1</v>
      </c>
      <c r="C26" s="12" t="s">
        <v>105</v>
      </c>
      <c r="D26" s="12" t="s">
        <v>97</v>
      </c>
      <c r="E26" s="12" t="s">
        <v>106</v>
      </c>
      <c r="F26" s="8"/>
      <c r="G26" s="21">
        <v>5.3459404494890617E-5</v>
      </c>
      <c r="H26" s="13"/>
    </row>
    <row r="27" spans="1:23" ht="15.5" x14ac:dyDescent="0.35">
      <c r="A27" s="10" t="s">
        <v>107</v>
      </c>
      <c r="B27" s="11">
        <v>1</v>
      </c>
      <c r="C27" s="12" t="s">
        <v>48</v>
      </c>
      <c r="D27" s="7" t="s">
        <v>108</v>
      </c>
      <c r="E27" s="12" t="s">
        <v>109</v>
      </c>
      <c r="F27" s="8"/>
      <c r="G27" s="17">
        <v>3.2006611608124997E-5</v>
      </c>
      <c r="H27" s="18" t="s">
        <v>110</v>
      </c>
      <c r="T27" s="5"/>
      <c r="U27" s="9"/>
      <c r="V27" s="9"/>
      <c r="W27" s="9"/>
    </row>
    <row r="28" spans="1:23" ht="14.5" x14ac:dyDescent="0.35">
      <c r="A28" s="10" t="s">
        <v>111</v>
      </c>
      <c r="B28" s="11">
        <v>1</v>
      </c>
      <c r="C28" s="12" t="s">
        <v>36</v>
      </c>
      <c r="D28" s="7" t="s">
        <v>108</v>
      </c>
      <c r="E28" s="12" t="s">
        <v>112</v>
      </c>
      <c r="F28" s="8"/>
      <c r="G28" s="7"/>
      <c r="H28" s="13" t="s">
        <v>113</v>
      </c>
    </row>
    <row r="29" spans="1:23" ht="14.5" x14ac:dyDescent="0.35">
      <c r="A29" s="10" t="s">
        <v>114</v>
      </c>
      <c r="B29" s="11">
        <v>1</v>
      </c>
      <c r="C29" s="12" t="s">
        <v>115</v>
      </c>
      <c r="D29" s="7" t="s">
        <v>108</v>
      </c>
      <c r="E29" s="12" t="s">
        <v>116</v>
      </c>
      <c r="F29" s="8"/>
      <c r="G29" s="7"/>
      <c r="H29" s="13" t="s">
        <v>117</v>
      </c>
    </row>
    <row r="30" spans="1:23" ht="14.5" x14ac:dyDescent="0.35">
      <c r="A30" s="10" t="s">
        <v>118</v>
      </c>
      <c r="B30" s="11">
        <v>1</v>
      </c>
      <c r="C30" s="12" t="s">
        <v>119</v>
      </c>
      <c r="D30" s="10" t="s">
        <v>120</v>
      </c>
      <c r="E30" s="12" t="s">
        <v>121</v>
      </c>
      <c r="F30" s="8"/>
      <c r="G30" s="7">
        <v>2.0128161418750003E-6</v>
      </c>
      <c r="H30" s="18" t="s">
        <v>119</v>
      </c>
    </row>
    <row r="31" spans="1:23" ht="15.5" x14ac:dyDescent="0.35">
      <c r="A31" s="10" t="s">
        <v>122</v>
      </c>
      <c r="B31" s="22">
        <v>4</v>
      </c>
      <c r="C31" s="12" t="s">
        <v>123</v>
      </c>
      <c r="D31" s="7" t="s">
        <v>124</v>
      </c>
      <c r="E31" s="12" t="s">
        <v>125</v>
      </c>
      <c r="F31" s="8"/>
      <c r="G31" s="23"/>
      <c r="H31" s="13"/>
      <c r="T31" s="5"/>
      <c r="U31" s="9"/>
      <c r="V31" s="9"/>
      <c r="W31" s="9"/>
    </row>
    <row r="32" spans="1:23" ht="29" x14ac:dyDescent="0.35">
      <c r="A32" s="10" t="s">
        <v>126</v>
      </c>
      <c r="B32" s="22">
        <v>3</v>
      </c>
      <c r="C32" s="12" t="s">
        <v>127</v>
      </c>
      <c r="D32" s="7" t="s">
        <v>124</v>
      </c>
      <c r="E32" s="12" t="s">
        <v>128</v>
      </c>
      <c r="F32" s="8"/>
      <c r="G32" s="24"/>
      <c r="H32" s="13" t="s">
        <v>129</v>
      </c>
      <c r="T32" s="5"/>
      <c r="U32" s="9"/>
      <c r="V32" s="9"/>
      <c r="W32" s="9"/>
    </row>
    <row r="33" spans="1:23" ht="15.5" x14ac:dyDescent="0.35">
      <c r="A33" s="10" t="s">
        <v>130</v>
      </c>
      <c r="B33" s="11">
        <v>1</v>
      </c>
      <c r="C33" s="12" t="s">
        <v>131</v>
      </c>
      <c r="D33" s="7" t="s">
        <v>124</v>
      </c>
      <c r="E33" s="12" t="s">
        <v>132</v>
      </c>
      <c r="F33" s="8"/>
      <c r="G33" s="23"/>
      <c r="H33" s="13"/>
      <c r="T33" s="5"/>
      <c r="U33" s="9"/>
      <c r="V33" s="9"/>
      <c r="W33" s="9"/>
    </row>
    <row r="34" spans="1:23" ht="15.5" x14ac:dyDescent="0.35">
      <c r="A34" s="10" t="s">
        <v>133</v>
      </c>
      <c r="B34" s="11">
        <v>1</v>
      </c>
      <c r="C34" s="12" t="s">
        <v>134</v>
      </c>
      <c r="D34" s="7" t="s">
        <v>124</v>
      </c>
      <c r="E34" s="12" t="s">
        <v>135</v>
      </c>
      <c r="G34" s="25"/>
      <c r="H34" s="13"/>
      <c r="T34" s="5"/>
      <c r="U34" s="9"/>
      <c r="V34" s="9"/>
      <c r="W34" s="9"/>
    </row>
    <row r="35" spans="1:23" ht="29" x14ac:dyDescent="0.35">
      <c r="A35" s="10" t="s">
        <v>136</v>
      </c>
      <c r="B35" s="11">
        <v>1</v>
      </c>
      <c r="C35" s="12" t="s">
        <v>137</v>
      </c>
      <c r="D35" s="7" t="s">
        <v>124</v>
      </c>
      <c r="E35" s="12" t="s">
        <v>138</v>
      </c>
      <c r="G35" s="25"/>
      <c r="H35" s="13" t="s">
        <v>139</v>
      </c>
      <c r="T35" s="5"/>
      <c r="U35" s="9"/>
      <c r="V35" s="9"/>
      <c r="W35" s="9"/>
    </row>
    <row r="36" spans="1:23" ht="15.5" x14ac:dyDescent="0.35">
      <c r="A36" s="10" t="s">
        <v>140</v>
      </c>
      <c r="B36" s="11">
        <v>1</v>
      </c>
      <c r="C36" s="12" t="s">
        <v>141</v>
      </c>
      <c r="D36" s="7" t="s">
        <v>124</v>
      </c>
      <c r="E36" s="12" t="s">
        <v>142</v>
      </c>
      <c r="G36" s="23"/>
      <c r="H36" s="13" t="s">
        <v>143</v>
      </c>
      <c r="T36" s="5"/>
      <c r="U36" s="9"/>
      <c r="V36" s="9"/>
      <c r="W36" s="9"/>
    </row>
    <row r="37" spans="1:23" ht="15.5" x14ac:dyDescent="0.35">
      <c r="A37" s="10" t="s">
        <v>144</v>
      </c>
      <c r="B37" s="11">
        <v>2</v>
      </c>
      <c r="C37" s="12" t="s">
        <v>145</v>
      </c>
      <c r="D37" s="7" t="s">
        <v>124</v>
      </c>
      <c r="E37" s="12" t="s">
        <v>146</v>
      </c>
      <c r="G37" s="25"/>
      <c r="H37" s="13"/>
      <c r="T37" s="5"/>
      <c r="U37" s="9"/>
      <c r="V37" s="9"/>
      <c r="W37" s="9"/>
    </row>
    <row r="38" spans="1:23" ht="15.5" x14ac:dyDescent="0.35">
      <c r="A38" s="10" t="s">
        <v>147</v>
      </c>
      <c r="B38" s="11">
        <v>2</v>
      </c>
      <c r="C38" s="12" t="s">
        <v>148</v>
      </c>
      <c r="D38" s="7" t="s">
        <v>124</v>
      </c>
      <c r="E38" s="12" t="s">
        <v>149</v>
      </c>
      <c r="G38" s="25"/>
      <c r="H38" s="13" t="s">
        <v>150</v>
      </c>
      <c r="T38" s="26" t="s">
        <v>151</v>
      </c>
      <c r="U38" s="9">
        <f>0.001*0.01</f>
        <v>1.0000000000000001E-5</v>
      </c>
      <c r="V38" s="9">
        <f>0.001*0.036</f>
        <v>3.6000000000000001E-5</v>
      </c>
      <c r="W38" s="9">
        <f>0.001*0.022</f>
        <v>2.1999999999999999E-5</v>
      </c>
    </row>
    <row r="39" spans="1:23" ht="29" x14ac:dyDescent="0.35">
      <c r="A39" s="10" t="s">
        <v>152</v>
      </c>
      <c r="B39" s="11">
        <v>1</v>
      </c>
      <c r="C39" s="12" t="s">
        <v>153</v>
      </c>
      <c r="D39" s="7" t="s">
        <v>124</v>
      </c>
      <c r="E39" s="12" t="s">
        <v>154</v>
      </c>
      <c r="G39" s="7"/>
      <c r="H39" s="13" t="s">
        <v>155</v>
      </c>
      <c r="T39" s="26" t="s">
        <v>156</v>
      </c>
      <c r="U39" s="9">
        <f>0.001*0.04</f>
        <v>4.0000000000000003E-5</v>
      </c>
      <c r="V39" s="9">
        <f>0.001*0.146</f>
        <v>1.46E-4</v>
      </c>
      <c r="W39" s="9">
        <f>0.001*0.078</f>
        <v>7.7999999999999999E-5</v>
      </c>
    </row>
    <row r="40" spans="1:23" ht="29" x14ac:dyDescent="0.35">
      <c r="A40" s="10" t="s">
        <v>157</v>
      </c>
      <c r="B40" s="11">
        <v>1</v>
      </c>
      <c r="C40" s="12" t="s">
        <v>158</v>
      </c>
      <c r="D40" s="7" t="s">
        <v>124</v>
      </c>
      <c r="E40" s="12" t="s">
        <v>159</v>
      </c>
      <c r="G40" s="14"/>
      <c r="H40" s="13" t="s">
        <v>160</v>
      </c>
      <c r="T40" s="26" t="s">
        <v>161</v>
      </c>
      <c r="U40" s="9">
        <f>0.001*0.12</f>
        <v>1.2E-4</v>
      </c>
      <c r="V40" s="9">
        <f>0.001*0.611</f>
        <v>6.11E-4</v>
      </c>
      <c r="W40" s="9">
        <f>0.001*0.33</f>
        <v>3.3E-4</v>
      </c>
    </row>
    <row r="41" spans="1:23" ht="15.5" x14ac:dyDescent="0.35">
      <c r="A41" s="10" t="s">
        <v>162</v>
      </c>
      <c r="B41" s="11">
        <v>1</v>
      </c>
      <c r="C41" s="12" t="s">
        <v>163</v>
      </c>
      <c r="D41" s="7" t="s">
        <v>124</v>
      </c>
      <c r="E41" s="12" t="s">
        <v>164</v>
      </c>
      <c r="G41" s="7"/>
      <c r="H41" s="13" t="s">
        <v>165</v>
      </c>
      <c r="T41" s="26" t="s">
        <v>166</v>
      </c>
      <c r="U41" s="9">
        <f>0.001*0.6</f>
        <v>5.9999999999999995E-4</v>
      </c>
      <c r="V41" s="9">
        <f>0.001*1.067</f>
        <v>1.067E-3</v>
      </c>
      <c r="W41" s="9">
        <f>0.001*1.358</f>
        <v>1.358E-3</v>
      </c>
    </row>
    <row r="42" spans="1:23" ht="14.5" x14ac:dyDescent="0.35">
      <c r="A42" s="10" t="s">
        <v>167</v>
      </c>
      <c r="B42" s="11">
        <v>1</v>
      </c>
      <c r="C42" s="12" t="s">
        <v>168</v>
      </c>
      <c r="D42" s="7" t="s">
        <v>124</v>
      </c>
      <c r="E42" s="12" t="s">
        <v>169</v>
      </c>
      <c r="G42" s="25"/>
      <c r="H42" s="13" t="s">
        <v>170</v>
      </c>
    </row>
    <row r="43" spans="1:23" ht="14.5" x14ac:dyDescent="0.35">
      <c r="A43" s="10" t="s">
        <v>171</v>
      </c>
      <c r="B43" s="11">
        <v>1</v>
      </c>
      <c r="C43" s="12" t="s">
        <v>131</v>
      </c>
      <c r="D43" s="7" t="s">
        <v>124</v>
      </c>
      <c r="E43" s="12" t="s">
        <v>132</v>
      </c>
      <c r="G43" s="25"/>
      <c r="H43" s="13"/>
    </row>
    <row r="44" spans="1:23" ht="14.5" x14ac:dyDescent="0.35">
      <c r="A44" s="10" t="s">
        <v>172</v>
      </c>
      <c r="B44" s="11">
        <v>1</v>
      </c>
      <c r="C44" s="12" t="s">
        <v>173</v>
      </c>
      <c r="D44" s="7" t="s">
        <v>174</v>
      </c>
      <c r="E44" s="12" t="s">
        <v>175</v>
      </c>
      <c r="G44" s="27">
        <v>1.4912399175796497E-3</v>
      </c>
      <c r="H44" s="13"/>
    </row>
    <row r="45" spans="1:23" ht="43.5" x14ac:dyDescent="0.35">
      <c r="A45" s="10" t="s">
        <v>176</v>
      </c>
      <c r="B45" s="11">
        <v>1</v>
      </c>
      <c r="C45" s="12" t="s">
        <v>177</v>
      </c>
      <c r="D45" s="12" t="s">
        <v>178</v>
      </c>
      <c r="E45" s="12" t="s">
        <v>179</v>
      </c>
      <c r="G45" s="7">
        <v>6.6899204670375001E-4</v>
      </c>
      <c r="H45" s="18" t="s">
        <v>180</v>
      </c>
    </row>
    <row r="46" spans="1:23" ht="29" x14ac:dyDescent="0.35">
      <c r="A46" s="10" t="s">
        <v>181</v>
      </c>
      <c r="B46" s="22">
        <v>6</v>
      </c>
      <c r="C46" s="12" t="s">
        <v>182</v>
      </c>
      <c r="D46" s="19" t="s">
        <v>102</v>
      </c>
      <c r="E46" s="12" t="s">
        <v>183</v>
      </c>
      <c r="G46" s="8">
        <v>1.2232819228437503E-4</v>
      </c>
      <c r="H46" s="13" t="s">
        <v>184</v>
      </c>
    </row>
    <row r="47" spans="1:23" ht="16.5" customHeight="1" x14ac:dyDescent="0.35">
      <c r="A47" s="12" t="s">
        <v>185</v>
      </c>
      <c r="B47" s="11">
        <v>1</v>
      </c>
      <c r="C47" s="12" t="s">
        <v>186</v>
      </c>
      <c r="D47" t="s">
        <v>12</v>
      </c>
      <c r="E47" s="12" t="s">
        <v>187</v>
      </c>
      <c r="G47" s="7">
        <v>1.400466442375E-5</v>
      </c>
      <c r="H47" s="18" t="s">
        <v>188</v>
      </c>
    </row>
    <row r="48" spans="1:23" ht="16.5" customHeight="1" x14ac:dyDescent="0.35">
      <c r="A48" s="12" t="s">
        <v>189</v>
      </c>
      <c r="B48" s="11">
        <v>1</v>
      </c>
      <c r="C48" s="12" t="s">
        <v>190</v>
      </c>
      <c r="D48" t="s">
        <v>12</v>
      </c>
      <c r="E48" s="12" t="s">
        <v>191</v>
      </c>
      <c r="G48" s="7">
        <v>1.5076276397875E-4</v>
      </c>
      <c r="H48" s="18" t="s">
        <v>192</v>
      </c>
    </row>
    <row r="49" spans="1:27" ht="16.5" customHeight="1" x14ac:dyDescent="0.35">
      <c r="H49" s="8"/>
    </row>
    <row r="50" spans="1:27" ht="15.75" customHeight="1" x14ac:dyDescent="0.35">
      <c r="E50" s="7" t="s">
        <v>193</v>
      </c>
      <c r="H50" s="8"/>
    </row>
    <row r="51" spans="1:27" ht="14.5" x14ac:dyDescent="0.35">
      <c r="H51" s="8"/>
    </row>
    <row r="52" spans="1:27" ht="14.5" x14ac:dyDescent="0.35">
      <c r="H52" s="8"/>
    </row>
    <row r="53" spans="1:27" ht="14.5" x14ac:dyDescent="0.35">
      <c r="A53" s="28"/>
      <c r="B53" s="28"/>
      <c r="C53" s="29"/>
      <c r="D53" s="28"/>
      <c r="E53" s="28"/>
      <c r="F53" s="28"/>
      <c r="G53" s="28"/>
      <c r="H53" s="29"/>
      <c r="I53" s="28"/>
      <c r="J53" s="28"/>
      <c r="K53" s="28"/>
      <c r="L53" s="30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14.5" x14ac:dyDescent="0.35">
      <c r="C54" s="8"/>
      <c r="H54" s="8"/>
    </row>
    <row r="55" spans="1:27" ht="14.5" x14ac:dyDescent="0.35">
      <c r="C55" s="8"/>
      <c r="G55" s="31"/>
      <c r="H55" s="32"/>
      <c r="L55" s="33"/>
    </row>
    <row r="56" spans="1:27" ht="15.5" x14ac:dyDescent="0.35">
      <c r="A56" s="6"/>
      <c r="B56" s="6"/>
      <c r="C56" s="6"/>
      <c r="D56" s="6"/>
      <c r="G56" s="34"/>
      <c r="H56" s="35"/>
    </row>
    <row r="57" spans="1:27" ht="15.5" x14ac:dyDescent="0.35">
      <c r="A57" s="26"/>
      <c r="B57" s="9"/>
      <c r="C57" s="9"/>
      <c r="D57" s="9"/>
      <c r="G57" s="31"/>
      <c r="H57" s="32"/>
    </row>
    <row r="58" spans="1:27" ht="15.5" x14ac:dyDescent="0.35">
      <c r="A58" s="26"/>
      <c r="B58" s="9"/>
      <c r="C58" s="9"/>
      <c r="D58" s="9"/>
      <c r="G58" s="34"/>
      <c r="H58" s="35"/>
    </row>
    <row r="59" spans="1:27" ht="15.5" x14ac:dyDescent="0.35">
      <c r="A59" s="26"/>
      <c r="B59" s="9"/>
      <c r="C59" s="9"/>
      <c r="D59" s="9"/>
      <c r="G59" s="14"/>
      <c r="H59" s="36"/>
    </row>
    <row r="60" spans="1:27" ht="15.5" x14ac:dyDescent="0.35">
      <c r="A60" s="26"/>
      <c r="B60" s="9"/>
      <c r="C60" s="9"/>
      <c r="D60" s="9"/>
      <c r="H60" s="8"/>
    </row>
    <row r="61" spans="1:27" ht="14.5" x14ac:dyDescent="0.35">
      <c r="C61" s="8"/>
      <c r="H61" s="8"/>
    </row>
    <row r="62" spans="1:27" ht="14.5" x14ac:dyDescent="0.35">
      <c r="C62" s="8"/>
      <c r="G62" s="7"/>
      <c r="H62" s="8"/>
    </row>
    <row r="63" spans="1:27" ht="14.5" x14ac:dyDescent="0.35">
      <c r="C63" s="8"/>
      <c r="H63" s="8"/>
    </row>
    <row r="64" spans="1:27" ht="14.5" x14ac:dyDescent="0.35">
      <c r="C64" s="8"/>
      <c r="H64" s="8"/>
    </row>
    <row r="65" spans="3:8" ht="14.5" x14ac:dyDescent="0.35">
      <c r="C65" s="8"/>
      <c r="H65" s="8"/>
    </row>
    <row r="66" spans="3:8" ht="14.5" x14ac:dyDescent="0.35">
      <c r="C66" s="8"/>
      <c r="H66" s="8"/>
    </row>
    <row r="67" spans="3:8" ht="14.5" x14ac:dyDescent="0.35">
      <c r="C67" s="8"/>
      <c r="H67" s="8"/>
    </row>
    <row r="68" spans="3:8" ht="14.5" x14ac:dyDescent="0.35">
      <c r="C68" s="8"/>
      <c r="H68" s="8"/>
    </row>
    <row r="69" spans="3:8" ht="14.5" x14ac:dyDescent="0.35">
      <c r="C69" s="8"/>
      <c r="H69" s="8"/>
    </row>
    <row r="70" spans="3:8" ht="14.5" x14ac:dyDescent="0.35">
      <c r="C70" s="8"/>
      <c r="H70" s="8"/>
    </row>
    <row r="71" spans="3:8" ht="14.5" x14ac:dyDescent="0.35">
      <c r="C71" s="8"/>
      <c r="H71" s="8"/>
    </row>
    <row r="72" spans="3:8" ht="14.5" x14ac:dyDescent="0.35">
      <c r="C72" s="8"/>
      <c r="H72" s="8"/>
    </row>
    <row r="73" spans="3:8" ht="14.5" x14ac:dyDescent="0.35">
      <c r="C73" s="8"/>
      <c r="H73" s="8"/>
    </row>
    <row r="74" spans="3:8" ht="14.5" x14ac:dyDescent="0.35">
      <c r="C74" s="8"/>
      <c r="H74" s="8"/>
    </row>
    <row r="75" spans="3:8" ht="14.5" x14ac:dyDescent="0.35">
      <c r="C75" s="8"/>
      <c r="H75" s="8"/>
    </row>
    <row r="76" spans="3:8" ht="14.5" x14ac:dyDescent="0.35">
      <c r="C76" s="8"/>
      <c r="H76" s="8"/>
    </row>
    <row r="77" spans="3:8" ht="14.5" x14ac:dyDescent="0.35">
      <c r="C77" s="8"/>
      <c r="H77" s="8"/>
    </row>
    <row r="78" spans="3:8" ht="14.5" x14ac:dyDescent="0.35">
      <c r="C78" s="8"/>
      <c r="H78" s="8"/>
    </row>
    <row r="79" spans="3:8" ht="14.5" x14ac:dyDescent="0.35">
      <c r="C79" s="8"/>
      <c r="H79" s="8"/>
    </row>
    <row r="80" spans="3:8" ht="14.5" x14ac:dyDescent="0.35">
      <c r="C80" s="8"/>
      <c r="H80" s="8"/>
    </row>
    <row r="81" spans="3:8" ht="14.5" x14ac:dyDescent="0.35">
      <c r="C81" s="8"/>
      <c r="H81" s="8"/>
    </row>
    <row r="82" spans="3:8" ht="14.5" x14ac:dyDescent="0.35">
      <c r="C82" s="8"/>
      <c r="H82" s="8"/>
    </row>
    <row r="83" spans="3:8" ht="14.5" x14ac:dyDescent="0.35">
      <c r="C83" s="8"/>
      <c r="H83" s="8"/>
    </row>
    <row r="84" spans="3:8" ht="14.5" x14ac:dyDescent="0.35">
      <c r="C84" s="8"/>
      <c r="H84" s="8"/>
    </row>
    <row r="85" spans="3:8" ht="14.5" x14ac:dyDescent="0.35">
      <c r="C85" s="8"/>
      <c r="H85" s="8"/>
    </row>
    <row r="86" spans="3:8" ht="14.5" x14ac:dyDescent="0.35">
      <c r="C86" s="8"/>
      <c r="H86" s="8"/>
    </row>
    <row r="87" spans="3:8" ht="14.5" x14ac:dyDescent="0.35">
      <c r="C87" s="8"/>
      <c r="H87" s="8"/>
    </row>
    <row r="88" spans="3:8" ht="14.5" x14ac:dyDescent="0.35">
      <c r="C88" s="8"/>
      <c r="H88" s="8"/>
    </row>
    <row r="89" spans="3:8" ht="14.5" x14ac:dyDescent="0.35">
      <c r="C89" s="8"/>
      <c r="H89" s="8"/>
    </row>
    <row r="90" spans="3:8" ht="14.5" x14ac:dyDescent="0.35">
      <c r="C90" s="8"/>
      <c r="H90" s="8"/>
    </row>
    <row r="91" spans="3:8" ht="14.5" x14ac:dyDescent="0.35">
      <c r="C91" s="8"/>
      <c r="H91" s="8"/>
    </row>
    <row r="92" spans="3:8" ht="14.5" x14ac:dyDescent="0.35">
      <c r="C92" s="8"/>
      <c r="H92" s="8"/>
    </row>
    <row r="93" spans="3:8" ht="14.5" x14ac:dyDescent="0.35">
      <c r="C93" s="8"/>
      <c r="H93" s="8"/>
    </row>
    <row r="94" spans="3:8" ht="14.5" x14ac:dyDescent="0.35">
      <c r="C94" s="8"/>
      <c r="H94" s="8"/>
    </row>
    <row r="95" spans="3:8" ht="14.5" x14ac:dyDescent="0.35">
      <c r="C95" s="8"/>
      <c r="H95" s="8"/>
    </row>
    <row r="96" spans="3:8" ht="14.5" x14ac:dyDescent="0.35">
      <c r="C96" s="8"/>
      <c r="H96" s="8"/>
    </row>
    <row r="97" spans="3:8" ht="14.5" x14ac:dyDescent="0.35">
      <c r="C97" s="8"/>
      <c r="H97" s="8"/>
    </row>
    <row r="98" spans="3:8" ht="14.5" x14ac:dyDescent="0.35">
      <c r="C98" s="8"/>
      <c r="H98" s="8"/>
    </row>
    <row r="99" spans="3:8" ht="14.5" x14ac:dyDescent="0.35">
      <c r="C99" s="8"/>
      <c r="H99" s="8"/>
    </row>
    <row r="100" spans="3:8" ht="14.5" x14ac:dyDescent="0.35">
      <c r="C100" s="8"/>
      <c r="H100" s="8"/>
    </row>
    <row r="101" spans="3:8" ht="14.5" x14ac:dyDescent="0.35">
      <c r="C101" s="8"/>
      <c r="H101" s="8"/>
    </row>
    <row r="102" spans="3:8" ht="14.5" x14ac:dyDescent="0.35">
      <c r="C102" s="8"/>
      <c r="H102" s="8"/>
    </row>
    <row r="103" spans="3:8" ht="14.5" x14ac:dyDescent="0.35">
      <c r="C103" s="8"/>
      <c r="H103" s="8"/>
    </row>
    <row r="104" spans="3:8" ht="14.5" x14ac:dyDescent="0.35">
      <c r="C104" s="8"/>
      <c r="H104" s="8"/>
    </row>
    <row r="105" spans="3:8" ht="14.5" x14ac:dyDescent="0.35">
      <c r="C105" s="8"/>
      <c r="H105" s="8"/>
    </row>
    <row r="106" spans="3:8" ht="14.5" x14ac:dyDescent="0.35">
      <c r="C106" s="8"/>
      <c r="H106" s="8"/>
    </row>
    <row r="107" spans="3:8" ht="14.5" x14ac:dyDescent="0.35">
      <c r="C107" s="8"/>
      <c r="H107" s="8"/>
    </row>
    <row r="108" spans="3:8" ht="14.5" x14ac:dyDescent="0.35">
      <c r="C108" s="8"/>
      <c r="H108" s="8"/>
    </row>
    <row r="109" spans="3:8" ht="14.5" x14ac:dyDescent="0.35">
      <c r="C109" s="8"/>
      <c r="H109" s="8"/>
    </row>
    <row r="110" spans="3:8" ht="14.5" x14ac:dyDescent="0.35">
      <c r="C110" s="8"/>
      <c r="H110" s="8"/>
    </row>
    <row r="111" spans="3:8" ht="14.5" x14ac:dyDescent="0.35">
      <c r="C111" s="8"/>
      <c r="H111" s="8"/>
    </row>
    <row r="112" spans="3:8" ht="14.5" x14ac:dyDescent="0.35">
      <c r="C112" s="8"/>
      <c r="H112" s="8"/>
    </row>
    <row r="113" spans="3:8" ht="14.5" x14ac:dyDescent="0.35">
      <c r="C113" s="8"/>
      <c r="H113" s="8"/>
    </row>
    <row r="114" spans="3:8" ht="14.5" x14ac:dyDescent="0.35">
      <c r="C114" s="8"/>
      <c r="H114" s="8"/>
    </row>
    <row r="115" spans="3:8" ht="14.5" x14ac:dyDescent="0.35">
      <c r="C115" s="8"/>
      <c r="H115" s="8"/>
    </row>
    <row r="116" spans="3:8" ht="14.5" x14ac:dyDescent="0.35">
      <c r="C116" s="8"/>
      <c r="H116" s="8"/>
    </row>
    <row r="117" spans="3:8" ht="14.5" x14ac:dyDescent="0.35">
      <c r="C117" s="8"/>
      <c r="H117" s="8"/>
    </row>
    <row r="118" spans="3:8" ht="14.5" x14ac:dyDescent="0.35">
      <c r="C118" s="8"/>
      <c r="H118" s="8"/>
    </row>
    <row r="119" spans="3:8" ht="14.5" x14ac:dyDescent="0.35">
      <c r="C119" s="8"/>
      <c r="H119" s="8"/>
    </row>
    <row r="120" spans="3:8" ht="14.5" x14ac:dyDescent="0.35">
      <c r="C120" s="8"/>
      <c r="H120" s="8"/>
    </row>
    <row r="121" spans="3:8" ht="14.5" x14ac:dyDescent="0.35">
      <c r="C121" s="8"/>
      <c r="H121" s="8"/>
    </row>
    <row r="122" spans="3:8" ht="14.5" x14ac:dyDescent="0.35">
      <c r="C122" s="8"/>
      <c r="H122" s="8"/>
    </row>
    <row r="123" spans="3:8" ht="14.5" x14ac:dyDescent="0.35">
      <c r="C123" s="8"/>
      <c r="H123" s="8"/>
    </row>
    <row r="124" spans="3:8" ht="14.5" x14ac:dyDescent="0.35">
      <c r="C124" s="8"/>
      <c r="H124" s="8"/>
    </row>
    <row r="125" spans="3:8" ht="14.5" x14ac:dyDescent="0.35">
      <c r="C125" s="8"/>
      <c r="H125" s="8"/>
    </row>
    <row r="126" spans="3:8" ht="14.5" x14ac:dyDescent="0.35">
      <c r="C126" s="8"/>
      <c r="H126" s="8"/>
    </row>
    <row r="127" spans="3:8" ht="14.5" x14ac:dyDescent="0.35">
      <c r="C127" s="8"/>
      <c r="H127" s="8"/>
    </row>
    <row r="128" spans="3:8" ht="14.5" x14ac:dyDescent="0.35">
      <c r="C128" s="8"/>
      <c r="H128" s="8"/>
    </row>
    <row r="129" spans="3:8" ht="14.5" x14ac:dyDescent="0.35">
      <c r="C129" s="8"/>
      <c r="H129" s="8"/>
    </row>
    <row r="130" spans="3:8" ht="14.5" x14ac:dyDescent="0.35">
      <c r="C130" s="8"/>
      <c r="H130" s="8"/>
    </row>
    <row r="131" spans="3:8" ht="14.5" x14ac:dyDescent="0.35">
      <c r="C131" s="8"/>
      <c r="H131" s="8"/>
    </row>
    <row r="132" spans="3:8" ht="14.5" x14ac:dyDescent="0.35">
      <c r="C132" s="8"/>
      <c r="H132" s="8"/>
    </row>
    <row r="133" spans="3:8" ht="14.5" x14ac:dyDescent="0.35">
      <c r="C133" s="8"/>
      <c r="H133" s="8"/>
    </row>
    <row r="134" spans="3:8" ht="14.5" x14ac:dyDescent="0.35">
      <c r="C134" s="8"/>
      <c r="H134" s="8"/>
    </row>
    <row r="135" spans="3:8" ht="14.5" x14ac:dyDescent="0.35">
      <c r="C135" s="8"/>
      <c r="H135" s="8"/>
    </row>
    <row r="136" spans="3:8" ht="14.5" x14ac:dyDescent="0.35">
      <c r="C136" s="8"/>
      <c r="H136" s="8"/>
    </row>
    <row r="137" spans="3:8" ht="14.5" x14ac:dyDescent="0.35">
      <c r="C137" s="8"/>
      <c r="H137" s="8"/>
    </row>
    <row r="138" spans="3:8" ht="14.5" x14ac:dyDescent="0.35">
      <c r="C138" s="8"/>
      <c r="H138" s="8"/>
    </row>
    <row r="139" spans="3:8" ht="14.5" x14ac:dyDescent="0.35">
      <c r="C139" s="8"/>
      <c r="H139" s="8"/>
    </row>
    <row r="140" spans="3:8" ht="14.5" x14ac:dyDescent="0.35">
      <c r="C140" s="8"/>
      <c r="H140" s="8"/>
    </row>
    <row r="141" spans="3:8" ht="14.5" x14ac:dyDescent="0.35">
      <c r="C141" s="8"/>
      <c r="H141" s="8"/>
    </row>
    <row r="142" spans="3:8" ht="14.5" x14ac:dyDescent="0.35">
      <c r="C142" s="8"/>
      <c r="H142" s="8"/>
    </row>
    <row r="143" spans="3:8" ht="14.5" x14ac:dyDescent="0.35">
      <c r="C143" s="8"/>
      <c r="H143" s="8"/>
    </row>
    <row r="144" spans="3:8" ht="14.5" x14ac:dyDescent="0.35">
      <c r="C144" s="8"/>
      <c r="H144" s="8"/>
    </row>
    <row r="145" spans="3:8" ht="14.5" x14ac:dyDescent="0.35">
      <c r="C145" s="8"/>
      <c r="H145" s="8"/>
    </row>
    <row r="146" spans="3:8" ht="14.5" x14ac:dyDescent="0.35">
      <c r="C146" s="8"/>
      <c r="H146" s="8"/>
    </row>
    <row r="147" spans="3:8" ht="14.5" x14ac:dyDescent="0.35">
      <c r="C147" s="8"/>
      <c r="H147" s="8"/>
    </row>
    <row r="148" spans="3:8" ht="14.5" x14ac:dyDescent="0.35">
      <c r="C148" s="8"/>
      <c r="H148" s="8"/>
    </row>
    <row r="149" spans="3:8" ht="14.5" x14ac:dyDescent="0.35">
      <c r="C149" s="8"/>
      <c r="H149" s="8"/>
    </row>
    <row r="150" spans="3:8" ht="14.5" x14ac:dyDescent="0.35">
      <c r="C150" s="8"/>
      <c r="H150" s="8"/>
    </row>
    <row r="151" spans="3:8" ht="14.5" x14ac:dyDescent="0.35">
      <c r="C151" s="8"/>
      <c r="H151" s="8"/>
    </row>
    <row r="152" spans="3:8" ht="14.5" x14ac:dyDescent="0.35">
      <c r="C152" s="8"/>
      <c r="H152" s="8"/>
    </row>
    <row r="153" spans="3:8" ht="14.5" x14ac:dyDescent="0.35">
      <c r="C153" s="8"/>
      <c r="H153" s="8"/>
    </row>
    <row r="154" spans="3:8" ht="14.5" x14ac:dyDescent="0.35">
      <c r="C154" s="8"/>
      <c r="H154" s="8"/>
    </row>
    <row r="155" spans="3:8" ht="14.5" x14ac:dyDescent="0.35">
      <c r="C155" s="8"/>
      <c r="H155" s="8"/>
    </row>
    <row r="156" spans="3:8" ht="14.5" x14ac:dyDescent="0.35">
      <c r="C156" s="8"/>
      <c r="H156" s="8"/>
    </row>
    <row r="157" spans="3:8" ht="14.5" x14ac:dyDescent="0.35">
      <c r="C157" s="8"/>
      <c r="H157" s="8"/>
    </row>
    <row r="158" spans="3:8" ht="14.5" x14ac:dyDescent="0.35">
      <c r="C158" s="8"/>
      <c r="H158" s="8"/>
    </row>
    <row r="159" spans="3:8" ht="14.5" x14ac:dyDescent="0.35">
      <c r="C159" s="8"/>
      <c r="H159" s="8"/>
    </row>
    <row r="160" spans="3:8" ht="14.5" x14ac:dyDescent="0.35">
      <c r="C160" s="8"/>
      <c r="H160" s="8"/>
    </row>
    <row r="161" spans="3:8" ht="14.5" x14ac:dyDescent="0.35">
      <c r="C161" s="8"/>
      <c r="H161" s="8"/>
    </row>
    <row r="162" spans="3:8" ht="14.5" x14ac:dyDescent="0.35">
      <c r="C162" s="8"/>
      <c r="H162" s="8"/>
    </row>
    <row r="163" spans="3:8" ht="14.5" x14ac:dyDescent="0.35">
      <c r="C163" s="8"/>
      <c r="H163" s="8"/>
    </row>
    <row r="164" spans="3:8" ht="14.5" x14ac:dyDescent="0.35">
      <c r="C164" s="8"/>
      <c r="H164" s="8"/>
    </row>
    <row r="165" spans="3:8" ht="14.5" x14ac:dyDescent="0.35">
      <c r="C165" s="8"/>
      <c r="H165" s="8"/>
    </row>
    <row r="166" spans="3:8" ht="14.5" x14ac:dyDescent="0.35">
      <c r="C166" s="8"/>
      <c r="H166" s="8"/>
    </row>
    <row r="167" spans="3:8" ht="14.5" x14ac:dyDescent="0.35">
      <c r="C167" s="8"/>
      <c r="H167" s="8"/>
    </row>
    <row r="168" spans="3:8" ht="14.5" x14ac:dyDescent="0.35">
      <c r="C168" s="8"/>
      <c r="H168" s="8"/>
    </row>
    <row r="169" spans="3:8" ht="14.5" x14ac:dyDescent="0.35">
      <c r="C169" s="8"/>
      <c r="H169" s="8"/>
    </row>
    <row r="170" spans="3:8" ht="14.5" x14ac:dyDescent="0.35">
      <c r="C170" s="8"/>
      <c r="H170" s="8"/>
    </row>
    <row r="171" spans="3:8" ht="14.5" x14ac:dyDescent="0.35">
      <c r="C171" s="8"/>
      <c r="H171" s="8"/>
    </row>
    <row r="172" spans="3:8" ht="14.5" x14ac:dyDescent="0.35">
      <c r="C172" s="8"/>
      <c r="H172" s="8"/>
    </row>
    <row r="173" spans="3:8" ht="14.5" x14ac:dyDescent="0.35">
      <c r="C173" s="8"/>
      <c r="H173" s="8"/>
    </row>
    <row r="174" spans="3:8" ht="14.5" x14ac:dyDescent="0.35">
      <c r="C174" s="8"/>
      <c r="H174" s="8"/>
    </row>
    <row r="175" spans="3:8" ht="14.5" x14ac:dyDescent="0.35">
      <c r="C175" s="8"/>
      <c r="H175" s="8"/>
    </row>
    <row r="176" spans="3:8" ht="14.5" x14ac:dyDescent="0.35">
      <c r="C176" s="8"/>
      <c r="H176" s="8"/>
    </row>
    <row r="177" spans="3:8" ht="14.5" x14ac:dyDescent="0.35">
      <c r="C177" s="8"/>
      <c r="H177" s="8"/>
    </row>
    <row r="178" spans="3:8" ht="14.5" x14ac:dyDescent="0.35">
      <c r="C178" s="8"/>
      <c r="H178" s="8"/>
    </row>
    <row r="179" spans="3:8" ht="14.5" x14ac:dyDescent="0.35">
      <c r="C179" s="8"/>
      <c r="H179" s="8"/>
    </row>
    <row r="180" spans="3:8" ht="14.5" x14ac:dyDescent="0.35">
      <c r="C180" s="8"/>
      <c r="H180" s="8"/>
    </row>
    <row r="181" spans="3:8" ht="14.5" x14ac:dyDescent="0.35">
      <c r="C181" s="8"/>
      <c r="H181" s="8"/>
    </row>
    <row r="182" spans="3:8" ht="14.5" x14ac:dyDescent="0.35">
      <c r="C182" s="8"/>
      <c r="H182" s="8"/>
    </row>
    <row r="183" spans="3:8" ht="14.5" x14ac:dyDescent="0.35">
      <c r="C183" s="8"/>
      <c r="H183" s="8"/>
    </row>
    <row r="184" spans="3:8" ht="14.5" x14ac:dyDescent="0.35">
      <c r="C184" s="8"/>
      <c r="H184" s="8"/>
    </row>
    <row r="185" spans="3:8" ht="14.5" x14ac:dyDescent="0.35">
      <c r="C185" s="8"/>
      <c r="H185" s="8"/>
    </row>
    <row r="186" spans="3:8" ht="14.5" x14ac:dyDescent="0.35">
      <c r="C186" s="8"/>
      <c r="H186" s="8"/>
    </row>
    <row r="187" spans="3:8" ht="14.5" x14ac:dyDescent="0.35">
      <c r="C187" s="8"/>
      <c r="H187" s="8"/>
    </row>
    <row r="188" spans="3:8" ht="14.5" x14ac:dyDescent="0.35">
      <c r="C188" s="8"/>
      <c r="H188" s="8"/>
    </row>
    <row r="189" spans="3:8" ht="14.5" x14ac:dyDescent="0.35">
      <c r="C189" s="8"/>
      <c r="H189" s="8"/>
    </row>
    <row r="190" spans="3:8" ht="14.5" x14ac:dyDescent="0.35">
      <c r="C190" s="8"/>
      <c r="H190" s="8"/>
    </row>
    <row r="191" spans="3:8" ht="14.5" x14ac:dyDescent="0.35">
      <c r="C191" s="8"/>
      <c r="H191" s="8"/>
    </row>
    <row r="192" spans="3:8" ht="14.5" x14ac:dyDescent="0.35">
      <c r="C192" s="8"/>
      <c r="H192" s="8"/>
    </row>
    <row r="193" spans="3:8" ht="14.5" x14ac:dyDescent="0.35">
      <c r="C193" s="8"/>
      <c r="H193" s="8"/>
    </row>
    <row r="194" spans="3:8" ht="14.5" x14ac:dyDescent="0.35">
      <c r="C194" s="8"/>
      <c r="H194" s="8"/>
    </row>
    <row r="195" spans="3:8" ht="14.5" x14ac:dyDescent="0.35">
      <c r="C195" s="8"/>
      <c r="H195" s="8"/>
    </row>
    <row r="196" spans="3:8" ht="14.5" x14ac:dyDescent="0.35">
      <c r="C196" s="8"/>
      <c r="H196" s="8"/>
    </row>
    <row r="197" spans="3:8" ht="14.5" x14ac:dyDescent="0.35">
      <c r="C197" s="8"/>
      <c r="H197" s="8"/>
    </row>
    <row r="198" spans="3:8" ht="14.5" x14ac:dyDescent="0.35">
      <c r="C198" s="8"/>
      <c r="H198" s="8"/>
    </row>
    <row r="199" spans="3:8" ht="14.5" x14ac:dyDescent="0.35">
      <c r="C199" s="8"/>
      <c r="H199" s="8"/>
    </row>
    <row r="200" spans="3:8" ht="14.5" x14ac:dyDescent="0.35">
      <c r="C200" s="8"/>
      <c r="H200" s="8"/>
    </row>
    <row r="201" spans="3:8" ht="14.5" x14ac:dyDescent="0.35">
      <c r="C201" s="8"/>
      <c r="H201" s="8"/>
    </row>
    <row r="202" spans="3:8" ht="14.5" x14ac:dyDescent="0.35">
      <c r="C202" s="8"/>
      <c r="H202" s="8"/>
    </row>
    <row r="203" spans="3:8" ht="14.5" x14ac:dyDescent="0.35">
      <c r="C203" s="8"/>
      <c r="H203" s="8"/>
    </row>
    <row r="204" spans="3:8" ht="14.5" x14ac:dyDescent="0.35">
      <c r="C204" s="8"/>
      <c r="H204" s="8"/>
    </row>
    <row r="205" spans="3:8" ht="14.5" x14ac:dyDescent="0.35">
      <c r="C205" s="8"/>
      <c r="H205" s="8"/>
    </row>
    <row r="206" spans="3:8" ht="14.5" x14ac:dyDescent="0.35">
      <c r="C206" s="8"/>
      <c r="H206" s="8"/>
    </row>
    <row r="207" spans="3:8" ht="14.5" x14ac:dyDescent="0.35">
      <c r="C207" s="8"/>
      <c r="H207" s="8"/>
    </row>
    <row r="208" spans="3:8" ht="14.5" x14ac:dyDescent="0.35">
      <c r="C208" s="8"/>
      <c r="H208" s="8"/>
    </row>
    <row r="209" spans="3:8" ht="14.5" x14ac:dyDescent="0.35">
      <c r="C209" s="8"/>
      <c r="H209" s="8"/>
    </row>
    <row r="210" spans="3:8" ht="14.5" x14ac:dyDescent="0.35">
      <c r="C210" s="8"/>
      <c r="H210" s="8"/>
    </row>
    <row r="211" spans="3:8" ht="14.5" x14ac:dyDescent="0.35">
      <c r="C211" s="8"/>
      <c r="H211" s="8"/>
    </row>
    <row r="212" spans="3:8" ht="14.5" x14ac:dyDescent="0.35">
      <c r="C212" s="8"/>
      <c r="H212" s="8"/>
    </row>
    <row r="213" spans="3:8" ht="14.5" x14ac:dyDescent="0.35">
      <c r="C213" s="8"/>
      <c r="H213" s="8"/>
    </row>
    <row r="214" spans="3:8" ht="14.5" x14ac:dyDescent="0.35">
      <c r="C214" s="8"/>
      <c r="H214" s="8"/>
    </row>
    <row r="215" spans="3:8" ht="14.5" x14ac:dyDescent="0.35">
      <c r="C215" s="8"/>
      <c r="H215" s="8"/>
    </row>
    <row r="216" spans="3:8" ht="14.5" x14ac:dyDescent="0.35">
      <c r="C216" s="8"/>
      <c r="H216" s="8"/>
    </row>
    <row r="217" spans="3:8" ht="14.5" x14ac:dyDescent="0.35">
      <c r="C217" s="8"/>
      <c r="H217" s="8"/>
    </row>
    <row r="218" spans="3:8" ht="14.5" x14ac:dyDescent="0.35">
      <c r="C218" s="8"/>
      <c r="H218" s="8"/>
    </row>
    <row r="219" spans="3:8" ht="14.5" x14ac:dyDescent="0.35">
      <c r="C219" s="8"/>
      <c r="H219" s="8"/>
    </row>
    <row r="220" spans="3:8" ht="14.5" x14ac:dyDescent="0.35">
      <c r="C220" s="8"/>
      <c r="H220" s="8"/>
    </row>
    <row r="221" spans="3:8" ht="14.5" x14ac:dyDescent="0.35">
      <c r="C221" s="8"/>
      <c r="H221" s="8"/>
    </row>
    <row r="222" spans="3:8" ht="14.5" x14ac:dyDescent="0.35">
      <c r="C222" s="8"/>
      <c r="H222" s="8"/>
    </row>
    <row r="223" spans="3:8" ht="14.5" x14ac:dyDescent="0.35">
      <c r="C223" s="8"/>
      <c r="H223" s="8"/>
    </row>
    <row r="224" spans="3:8" ht="14.5" x14ac:dyDescent="0.35">
      <c r="C224" s="8"/>
      <c r="H224" s="8"/>
    </row>
    <row r="225" spans="3:8" ht="14.5" x14ac:dyDescent="0.35">
      <c r="C225" s="8"/>
      <c r="H225" s="8"/>
    </row>
    <row r="226" spans="3:8" ht="14.5" x14ac:dyDescent="0.35">
      <c r="C226" s="8"/>
      <c r="H226" s="8"/>
    </row>
    <row r="227" spans="3:8" ht="14.5" x14ac:dyDescent="0.35">
      <c r="C227" s="8"/>
      <c r="H227" s="8"/>
    </row>
    <row r="228" spans="3:8" ht="14.5" x14ac:dyDescent="0.35">
      <c r="C228" s="8"/>
      <c r="H228" s="8"/>
    </row>
    <row r="229" spans="3:8" ht="14.5" x14ac:dyDescent="0.35">
      <c r="C229" s="8"/>
      <c r="H229" s="8"/>
    </row>
    <row r="230" spans="3:8" ht="14.5" x14ac:dyDescent="0.35">
      <c r="C230" s="8"/>
      <c r="H230" s="8"/>
    </row>
    <row r="231" spans="3:8" ht="14.5" x14ac:dyDescent="0.35">
      <c r="C231" s="8"/>
      <c r="H231" s="8"/>
    </row>
    <row r="232" spans="3:8" ht="14.5" x14ac:dyDescent="0.35">
      <c r="C232" s="8"/>
      <c r="H232" s="8"/>
    </row>
    <row r="233" spans="3:8" ht="14.5" x14ac:dyDescent="0.35">
      <c r="C233" s="8"/>
      <c r="H233" s="8"/>
    </row>
    <row r="234" spans="3:8" ht="14.5" x14ac:dyDescent="0.35">
      <c r="C234" s="8"/>
      <c r="H234" s="8"/>
    </row>
    <row r="235" spans="3:8" ht="14.5" x14ac:dyDescent="0.35">
      <c r="C235" s="8"/>
      <c r="H235" s="8"/>
    </row>
    <row r="236" spans="3:8" ht="14.5" x14ac:dyDescent="0.35">
      <c r="C236" s="8"/>
      <c r="H236" s="8"/>
    </row>
    <row r="237" spans="3:8" ht="14.5" x14ac:dyDescent="0.35">
      <c r="C237" s="8"/>
      <c r="H237" s="8"/>
    </row>
    <row r="238" spans="3:8" ht="14.5" x14ac:dyDescent="0.35">
      <c r="C238" s="8"/>
      <c r="H238" s="8"/>
    </row>
    <row r="239" spans="3:8" ht="14.5" x14ac:dyDescent="0.35">
      <c r="C239" s="8"/>
      <c r="H239" s="8"/>
    </row>
    <row r="240" spans="3:8" ht="14.5" x14ac:dyDescent="0.35">
      <c r="C240" s="8"/>
      <c r="H240" s="8"/>
    </row>
    <row r="241" spans="3:8" ht="14.5" x14ac:dyDescent="0.35">
      <c r="C241" s="8"/>
      <c r="H241" s="8"/>
    </row>
    <row r="242" spans="3:8" ht="14.5" x14ac:dyDescent="0.35">
      <c r="C242" s="8"/>
      <c r="H242" s="8"/>
    </row>
    <row r="243" spans="3:8" ht="14.5" x14ac:dyDescent="0.35">
      <c r="C243" s="8"/>
      <c r="H243" s="8"/>
    </row>
    <row r="244" spans="3:8" ht="14.5" x14ac:dyDescent="0.35">
      <c r="C244" s="8"/>
      <c r="H244" s="8"/>
    </row>
    <row r="245" spans="3:8" ht="14.5" x14ac:dyDescent="0.35">
      <c r="C245" s="8"/>
      <c r="H245" s="8"/>
    </row>
    <row r="246" spans="3:8" ht="14.5" x14ac:dyDescent="0.35">
      <c r="C246" s="8"/>
      <c r="H246" s="8"/>
    </row>
    <row r="247" spans="3:8" ht="14.5" x14ac:dyDescent="0.35">
      <c r="C247" s="8"/>
      <c r="H247" s="8"/>
    </row>
    <row r="248" spans="3:8" ht="14.5" x14ac:dyDescent="0.35">
      <c r="C248" s="8"/>
      <c r="H248" s="8"/>
    </row>
    <row r="249" spans="3:8" ht="14.5" x14ac:dyDescent="0.35">
      <c r="C249" s="8"/>
      <c r="H249" s="8"/>
    </row>
    <row r="250" spans="3:8" ht="14.5" x14ac:dyDescent="0.35">
      <c r="C250" s="8"/>
      <c r="H250" s="8"/>
    </row>
    <row r="251" spans="3:8" ht="14.5" x14ac:dyDescent="0.35">
      <c r="C251" s="8"/>
      <c r="H251" s="8"/>
    </row>
    <row r="252" spans="3:8" ht="14.5" x14ac:dyDescent="0.35">
      <c r="C252" s="8"/>
      <c r="H252" s="8"/>
    </row>
    <row r="253" spans="3:8" ht="14.5" x14ac:dyDescent="0.35">
      <c r="C253" s="8"/>
      <c r="H253" s="8"/>
    </row>
    <row r="254" spans="3:8" ht="14.5" x14ac:dyDescent="0.35">
      <c r="C254" s="8"/>
      <c r="H254" s="8"/>
    </row>
    <row r="255" spans="3:8" ht="14.5" x14ac:dyDescent="0.35">
      <c r="C255" s="8"/>
      <c r="H255" s="8"/>
    </row>
    <row r="256" spans="3:8" ht="14.5" x14ac:dyDescent="0.35">
      <c r="C256" s="8"/>
      <c r="H256" s="8"/>
    </row>
    <row r="257" spans="3:8" ht="14.5" x14ac:dyDescent="0.35">
      <c r="C257" s="8"/>
      <c r="H257" s="8"/>
    </row>
    <row r="258" spans="3:8" ht="14.5" x14ac:dyDescent="0.35">
      <c r="C258" s="8"/>
      <c r="H258" s="8"/>
    </row>
    <row r="259" spans="3:8" ht="14.5" x14ac:dyDescent="0.35">
      <c r="C259" s="8"/>
      <c r="H259" s="8"/>
    </row>
    <row r="260" spans="3:8" ht="14.5" x14ac:dyDescent="0.35">
      <c r="C260" s="8"/>
      <c r="H260" s="8"/>
    </row>
    <row r="261" spans="3:8" ht="14.5" x14ac:dyDescent="0.35">
      <c r="C261" s="8"/>
      <c r="H261" s="8"/>
    </row>
    <row r="262" spans="3:8" ht="14.5" x14ac:dyDescent="0.35">
      <c r="C262" s="8"/>
      <c r="H262" s="8"/>
    </row>
    <row r="263" spans="3:8" ht="14.5" x14ac:dyDescent="0.35">
      <c r="C263" s="8"/>
      <c r="H263" s="8"/>
    </row>
    <row r="264" spans="3:8" ht="14.5" x14ac:dyDescent="0.35">
      <c r="C264" s="8"/>
      <c r="H264" s="8"/>
    </row>
    <row r="265" spans="3:8" ht="14.5" x14ac:dyDescent="0.35">
      <c r="C265" s="8"/>
      <c r="H265" s="8"/>
    </row>
    <row r="266" spans="3:8" ht="14.5" x14ac:dyDescent="0.35">
      <c r="C266" s="8"/>
      <c r="H266" s="8"/>
    </row>
    <row r="267" spans="3:8" ht="14.5" x14ac:dyDescent="0.35">
      <c r="C267" s="8"/>
      <c r="H267" s="8"/>
    </row>
    <row r="268" spans="3:8" ht="14.5" x14ac:dyDescent="0.35">
      <c r="C268" s="8"/>
      <c r="H268" s="8"/>
    </row>
    <row r="269" spans="3:8" ht="14.5" x14ac:dyDescent="0.35">
      <c r="C269" s="8"/>
      <c r="H269" s="8"/>
    </row>
    <row r="270" spans="3:8" ht="14.5" x14ac:dyDescent="0.35">
      <c r="C270" s="8"/>
      <c r="H270" s="8"/>
    </row>
    <row r="271" spans="3:8" ht="14.5" x14ac:dyDescent="0.35">
      <c r="C271" s="8"/>
      <c r="H271" s="8"/>
    </row>
    <row r="272" spans="3:8" ht="14.5" x14ac:dyDescent="0.35">
      <c r="C272" s="8"/>
      <c r="H272" s="8"/>
    </row>
    <row r="273" spans="3:8" ht="14.5" x14ac:dyDescent="0.35">
      <c r="C273" s="8"/>
      <c r="H273" s="8"/>
    </row>
    <row r="274" spans="3:8" ht="14.5" x14ac:dyDescent="0.35">
      <c r="C274" s="8"/>
      <c r="H274" s="8"/>
    </row>
    <row r="275" spans="3:8" ht="14.5" x14ac:dyDescent="0.35">
      <c r="C275" s="8"/>
      <c r="H275" s="8"/>
    </row>
    <row r="276" spans="3:8" ht="14.5" x14ac:dyDescent="0.35">
      <c r="C276" s="8"/>
      <c r="H276" s="8"/>
    </row>
    <row r="277" spans="3:8" ht="14.5" x14ac:dyDescent="0.35">
      <c r="C277" s="8"/>
      <c r="H277" s="8"/>
    </row>
    <row r="278" spans="3:8" ht="14.5" x14ac:dyDescent="0.35">
      <c r="C278" s="8"/>
      <c r="H278" s="8"/>
    </row>
    <row r="279" spans="3:8" ht="14.5" x14ac:dyDescent="0.35">
      <c r="C279" s="8"/>
      <c r="H279" s="8"/>
    </row>
    <row r="280" spans="3:8" ht="14.5" x14ac:dyDescent="0.35">
      <c r="C280" s="8"/>
      <c r="H280" s="8"/>
    </row>
    <row r="281" spans="3:8" ht="14.5" x14ac:dyDescent="0.35">
      <c r="C281" s="8"/>
      <c r="H281" s="8"/>
    </row>
    <row r="282" spans="3:8" ht="14.5" x14ac:dyDescent="0.35">
      <c r="C282" s="8"/>
      <c r="H282" s="8"/>
    </row>
    <row r="283" spans="3:8" ht="14.5" x14ac:dyDescent="0.35">
      <c r="C283" s="8"/>
      <c r="H283" s="8"/>
    </row>
    <row r="284" spans="3:8" ht="14.5" x14ac:dyDescent="0.35">
      <c r="C284" s="8"/>
      <c r="H284" s="8"/>
    </row>
    <row r="285" spans="3:8" ht="14.5" x14ac:dyDescent="0.35">
      <c r="C285" s="8"/>
      <c r="H285" s="8"/>
    </row>
    <row r="286" spans="3:8" ht="14.5" x14ac:dyDescent="0.35">
      <c r="C286" s="8"/>
      <c r="H286" s="8"/>
    </row>
    <row r="287" spans="3:8" ht="14.5" x14ac:dyDescent="0.35">
      <c r="C287" s="8"/>
      <c r="H287" s="8"/>
    </row>
    <row r="288" spans="3:8" ht="14.5" x14ac:dyDescent="0.35">
      <c r="C288" s="8"/>
      <c r="H288" s="8"/>
    </row>
    <row r="289" spans="3:8" ht="14.5" x14ac:dyDescent="0.35">
      <c r="C289" s="8"/>
      <c r="H289" s="8"/>
    </row>
    <row r="290" spans="3:8" ht="14.5" x14ac:dyDescent="0.35">
      <c r="C290" s="8"/>
      <c r="H290" s="8"/>
    </row>
    <row r="291" spans="3:8" ht="14.5" x14ac:dyDescent="0.35">
      <c r="C291" s="8"/>
      <c r="H291" s="8"/>
    </row>
    <row r="292" spans="3:8" ht="14.5" x14ac:dyDescent="0.35">
      <c r="C292" s="8"/>
      <c r="H292" s="8"/>
    </row>
    <row r="293" spans="3:8" ht="14.5" x14ac:dyDescent="0.35">
      <c r="C293" s="8"/>
      <c r="H293" s="8"/>
    </row>
    <row r="294" spans="3:8" ht="14.5" x14ac:dyDescent="0.35">
      <c r="C294" s="8"/>
      <c r="H294" s="8"/>
    </row>
    <row r="295" spans="3:8" ht="14.5" x14ac:dyDescent="0.35">
      <c r="C295" s="8"/>
      <c r="H295" s="8"/>
    </row>
    <row r="296" spans="3:8" ht="14.5" x14ac:dyDescent="0.35">
      <c r="C296" s="8"/>
      <c r="H296" s="8"/>
    </row>
    <row r="297" spans="3:8" ht="14.5" x14ac:dyDescent="0.35">
      <c r="C297" s="8"/>
      <c r="H297" s="8"/>
    </row>
    <row r="298" spans="3:8" ht="14.5" x14ac:dyDescent="0.35">
      <c r="C298" s="8"/>
      <c r="H298" s="8"/>
    </row>
    <row r="299" spans="3:8" ht="14.5" x14ac:dyDescent="0.35">
      <c r="C299" s="8"/>
      <c r="H299" s="8"/>
    </row>
    <row r="300" spans="3:8" ht="14.5" x14ac:dyDescent="0.35">
      <c r="C300" s="8"/>
      <c r="H300" s="8"/>
    </row>
    <row r="301" spans="3:8" ht="14.5" x14ac:dyDescent="0.35">
      <c r="C301" s="8"/>
      <c r="H301" s="8"/>
    </row>
    <row r="302" spans="3:8" ht="14.5" x14ac:dyDescent="0.35">
      <c r="C302" s="8"/>
      <c r="H302" s="8"/>
    </row>
    <row r="303" spans="3:8" ht="14.5" x14ac:dyDescent="0.35">
      <c r="C303" s="8"/>
      <c r="H303" s="8"/>
    </row>
    <row r="304" spans="3:8" ht="14.5" x14ac:dyDescent="0.35">
      <c r="C304" s="8"/>
      <c r="H304" s="8"/>
    </row>
    <row r="305" spans="3:8" ht="14.5" x14ac:dyDescent="0.35">
      <c r="C305" s="8"/>
      <c r="H305" s="8"/>
    </row>
    <row r="306" spans="3:8" ht="14.5" x14ac:dyDescent="0.35">
      <c r="C306" s="8"/>
      <c r="H306" s="8"/>
    </row>
    <row r="307" spans="3:8" ht="14.5" x14ac:dyDescent="0.35">
      <c r="C307" s="8"/>
      <c r="H307" s="8"/>
    </row>
    <row r="308" spans="3:8" ht="14.5" x14ac:dyDescent="0.35">
      <c r="C308" s="8"/>
      <c r="H308" s="8"/>
    </row>
    <row r="309" spans="3:8" ht="14.5" x14ac:dyDescent="0.35">
      <c r="C309" s="8"/>
      <c r="H309" s="8"/>
    </row>
    <row r="310" spans="3:8" ht="14.5" x14ac:dyDescent="0.35">
      <c r="C310" s="8"/>
      <c r="H310" s="8"/>
    </row>
    <row r="311" spans="3:8" ht="14.5" x14ac:dyDescent="0.35">
      <c r="C311" s="8"/>
      <c r="H311" s="8"/>
    </row>
    <row r="312" spans="3:8" ht="14.5" x14ac:dyDescent="0.35">
      <c r="C312" s="8"/>
      <c r="H312" s="8"/>
    </row>
    <row r="313" spans="3:8" ht="14.5" x14ac:dyDescent="0.35">
      <c r="C313" s="8"/>
      <c r="H313" s="8"/>
    </row>
    <row r="314" spans="3:8" ht="14.5" x14ac:dyDescent="0.35">
      <c r="C314" s="8"/>
      <c r="H314" s="8"/>
    </row>
    <row r="315" spans="3:8" ht="14.5" x14ac:dyDescent="0.35">
      <c r="C315" s="8"/>
      <c r="H315" s="8"/>
    </row>
    <row r="316" spans="3:8" ht="14.5" x14ac:dyDescent="0.35">
      <c r="C316" s="8"/>
      <c r="H316" s="8"/>
    </row>
    <row r="317" spans="3:8" ht="14.5" x14ac:dyDescent="0.35">
      <c r="C317" s="8"/>
      <c r="H317" s="8"/>
    </row>
    <row r="318" spans="3:8" ht="14.5" x14ac:dyDescent="0.35">
      <c r="C318" s="8"/>
      <c r="H318" s="8"/>
    </row>
    <row r="319" spans="3:8" ht="14.5" x14ac:dyDescent="0.35">
      <c r="C319" s="8"/>
      <c r="H319" s="8"/>
    </row>
    <row r="320" spans="3:8" ht="14.5" x14ac:dyDescent="0.35">
      <c r="C320" s="8"/>
      <c r="H320" s="8"/>
    </row>
    <row r="321" spans="3:8" ht="14.5" x14ac:dyDescent="0.35">
      <c r="C321" s="8"/>
      <c r="H321" s="8"/>
    </row>
    <row r="322" spans="3:8" ht="14.5" x14ac:dyDescent="0.35">
      <c r="C322" s="8"/>
      <c r="H322" s="8"/>
    </row>
    <row r="323" spans="3:8" ht="14.5" x14ac:dyDescent="0.35">
      <c r="C323" s="8"/>
      <c r="H323" s="8"/>
    </row>
    <row r="324" spans="3:8" ht="14.5" x14ac:dyDescent="0.35">
      <c r="C324" s="8"/>
      <c r="H324" s="8"/>
    </row>
    <row r="325" spans="3:8" ht="14.5" x14ac:dyDescent="0.35">
      <c r="C325" s="8"/>
      <c r="H325" s="8"/>
    </row>
    <row r="326" spans="3:8" ht="14.5" x14ac:dyDescent="0.35">
      <c r="C326" s="8"/>
      <c r="H326" s="8"/>
    </row>
    <row r="327" spans="3:8" ht="14.5" x14ac:dyDescent="0.35">
      <c r="C327" s="8"/>
      <c r="H327" s="8"/>
    </row>
    <row r="328" spans="3:8" ht="14.5" x14ac:dyDescent="0.35">
      <c r="C328" s="8"/>
      <c r="H328" s="8"/>
    </row>
    <row r="329" spans="3:8" ht="14.5" x14ac:dyDescent="0.35">
      <c r="C329" s="8"/>
      <c r="H329" s="8"/>
    </row>
    <row r="330" spans="3:8" ht="14.5" x14ac:dyDescent="0.35">
      <c r="C330" s="8"/>
      <c r="H330" s="8"/>
    </row>
    <row r="331" spans="3:8" ht="14.5" x14ac:dyDescent="0.35">
      <c r="C331" s="8"/>
      <c r="H331" s="8"/>
    </row>
    <row r="332" spans="3:8" ht="14.5" x14ac:dyDescent="0.35">
      <c r="C332" s="8"/>
      <c r="H332" s="8"/>
    </row>
    <row r="333" spans="3:8" ht="14.5" x14ac:dyDescent="0.35">
      <c r="C333" s="8"/>
      <c r="H333" s="8"/>
    </row>
    <row r="334" spans="3:8" ht="14.5" x14ac:dyDescent="0.35">
      <c r="C334" s="8"/>
      <c r="H334" s="8"/>
    </row>
    <row r="335" spans="3:8" ht="14.5" x14ac:dyDescent="0.35">
      <c r="C335" s="8"/>
      <c r="H335" s="8"/>
    </row>
    <row r="336" spans="3:8" ht="14.5" x14ac:dyDescent="0.35">
      <c r="C336" s="8"/>
      <c r="H336" s="8"/>
    </row>
    <row r="337" spans="3:8" ht="14.5" x14ac:dyDescent="0.35">
      <c r="C337" s="8"/>
      <c r="H337" s="8"/>
    </row>
    <row r="338" spans="3:8" ht="14.5" x14ac:dyDescent="0.35">
      <c r="C338" s="8"/>
      <c r="H338" s="8"/>
    </row>
    <row r="339" spans="3:8" ht="14.5" x14ac:dyDescent="0.35">
      <c r="C339" s="8"/>
      <c r="H339" s="8"/>
    </row>
    <row r="340" spans="3:8" ht="14.5" x14ac:dyDescent="0.35">
      <c r="C340" s="8"/>
      <c r="H340" s="8"/>
    </row>
    <row r="341" spans="3:8" ht="14.5" x14ac:dyDescent="0.35">
      <c r="C341" s="8"/>
      <c r="H341" s="8"/>
    </row>
    <row r="342" spans="3:8" ht="14.5" x14ac:dyDescent="0.35">
      <c r="C342" s="8"/>
      <c r="H342" s="8"/>
    </row>
    <row r="343" spans="3:8" ht="14.5" x14ac:dyDescent="0.35">
      <c r="C343" s="8"/>
      <c r="H343" s="8"/>
    </row>
    <row r="344" spans="3:8" ht="14.5" x14ac:dyDescent="0.35">
      <c r="C344" s="8"/>
      <c r="H344" s="8"/>
    </row>
    <row r="345" spans="3:8" ht="14.5" x14ac:dyDescent="0.35">
      <c r="C345" s="8"/>
      <c r="H345" s="8"/>
    </row>
    <row r="346" spans="3:8" ht="14.5" x14ac:dyDescent="0.35">
      <c r="C346" s="8"/>
      <c r="H346" s="8"/>
    </row>
    <row r="347" spans="3:8" ht="14.5" x14ac:dyDescent="0.35">
      <c r="C347" s="8"/>
      <c r="H347" s="8"/>
    </row>
    <row r="348" spans="3:8" ht="14.5" x14ac:dyDescent="0.35">
      <c r="C348" s="8"/>
      <c r="H348" s="8"/>
    </row>
    <row r="349" spans="3:8" ht="14.5" x14ac:dyDescent="0.35">
      <c r="C349" s="8"/>
      <c r="H349" s="8"/>
    </row>
    <row r="350" spans="3:8" ht="14.5" x14ac:dyDescent="0.35">
      <c r="C350" s="8"/>
      <c r="H350" s="8"/>
    </row>
    <row r="351" spans="3:8" ht="14.5" x14ac:dyDescent="0.35">
      <c r="C351" s="8"/>
      <c r="H351" s="8"/>
    </row>
    <row r="352" spans="3:8" ht="14.5" x14ac:dyDescent="0.35">
      <c r="C352" s="8"/>
      <c r="H352" s="8"/>
    </row>
    <row r="353" spans="3:8" ht="14.5" x14ac:dyDescent="0.35">
      <c r="C353" s="8"/>
      <c r="H353" s="8"/>
    </row>
    <row r="354" spans="3:8" ht="14.5" x14ac:dyDescent="0.35">
      <c r="C354" s="8"/>
      <c r="H354" s="8"/>
    </row>
    <row r="355" spans="3:8" ht="14.5" x14ac:dyDescent="0.35">
      <c r="C355" s="8"/>
      <c r="H355" s="8"/>
    </row>
    <row r="356" spans="3:8" ht="14.5" x14ac:dyDescent="0.35">
      <c r="C356" s="8"/>
      <c r="H356" s="8"/>
    </row>
    <row r="357" spans="3:8" ht="14.5" x14ac:dyDescent="0.35">
      <c r="C357" s="8"/>
      <c r="H357" s="8"/>
    </row>
    <row r="358" spans="3:8" ht="14.5" x14ac:dyDescent="0.35">
      <c r="C358" s="8"/>
      <c r="H358" s="8"/>
    </row>
    <row r="359" spans="3:8" ht="14.5" x14ac:dyDescent="0.35">
      <c r="C359" s="8"/>
      <c r="H359" s="8"/>
    </row>
    <row r="360" spans="3:8" ht="14.5" x14ac:dyDescent="0.35">
      <c r="C360" s="8"/>
      <c r="H360" s="8"/>
    </row>
    <row r="361" spans="3:8" ht="14.5" x14ac:dyDescent="0.35">
      <c r="C361" s="8"/>
      <c r="H361" s="8"/>
    </row>
    <row r="362" spans="3:8" ht="14.5" x14ac:dyDescent="0.35">
      <c r="C362" s="8"/>
      <c r="H362" s="8"/>
    </row>
    <row r="363" spans="3:8" ht="14.5" x14ac:dyDescent="0.35">
      <c r="C363" s="8"/>
      <c r="H363" s="8"/>
    </row>
    <row r="364" spans="3:8" ht="14.5" x14ac:dyDescent="0.35">
      <c r="C364" s="8"/>
      <c r="H364" s="8"/>
    </row>
    <row r="365" spans="3:8" ht="14.5" x14ac:dyDescent="0.35">
      <c r="C365" s="8"/>
      <c r="H365" s="8"/>
    </row>
    <row r="366" spans="3:8" ht="14.5" x14ac:dyDescent="0.35">
      <c r="C366" s="8"/>
      <c r="H366" s="8"/>
    </row>
    <row r="367" spans="3:8" ht="14.5" x14ac:dyDescent="0.35">
      <c r="C367" s="8"/>
      <c r="H367" s="8"/>
    </row>
    <row r="368" spans="3:8" ht="14.5" x14ac:dyDescent="0.35">
      <c r="C368" s="8"/>
      <c r="H368" s="8"/>
    </row>
    <row r="369" spans="3:8" ht="14.5" x14ac:dyDescent="0.35">
      <c r="C369" s="8"/>
      <c r="H369" s="8"/>
    </row>
    <row r="370" spans="3:8" ht="14.5" x14ac:dyDescent="0.35">
      <c r="C370" s="8"/>
      <c r="H370" s="8"/>
    </row>
    <row r="371" spans="3:8" ht="14.5" x14ac:dyDescent="0.35">
      <c r="C371" s="8"/>
      <c r="H371" s="8"/>
    </row>
    <row r="372" spans="3:8" ht="14.5" x14ac:dyDescent="0.35">
      <c r="C372" s="8"/>
      <c r="H372" s="8"/>
    </row>
    <row r="373" spans="3:8" ht="14.5" x14ac:dyDescent="0.35">
      <c r="C373" s="8"/>
      <c r="H373" s="8"/>
    </row>
    <row r="374" spans="3:8" ht="14.5" x14ac:dyDescent="0.35">
      <c r="C374" s="8"/>
      <c r="H374" s="8"/>
    </row>
    <row r="375" spans="3:8" ht="14.5" x14ac:dyDescent="0.35">
      <c r="C375" s="8"/>
      <c r="H375" s="8"/>
    </row>
    <row r="376" spans="3:8" ht="14.5" x14ac:dyDescent="0.35">
      <c r="C376" s="8"/>
      <c r="H376" s="8"/>
    </row>
    <row r="377" spans="3:8" ht="14.5" x14ac:dyDescent="0.35">
      <c r="C377" s="8"/>
      <c r="H377" s="8"/>
    </row>
    <row r="378" spans="3:8" ht="14.5" x14ac:dyDescent="0.35">
      <c r="C378" s="8"/>
      <c r="H378" s="8"/>
    </row>
    <row r="379" spans="3:8" ht="14.5" x14ac:dyDescent="0.35">
      <c r="C379" s="8"/>
      <c r="H379" s="8"/>
    </row>
    <row r="380" spans="3:8" ht="14.5" x14ac:dyDescent="0.35">
      <c r="C380" s="8"/>
      <c r="H380" s="8"/>
    </row>
    <row r="381" spans="3:8" ht="14.5" x14ac:dyDescent="0.35">
      <c r="C381" s="8"/>
      <c r="H381" s="8"/>
    </row>
    <row r="382" spans="3:8" ht="14.5" x14ac:dyDescent="0.35">
      <c r="C382" s="8"/>
      <c r="H382" s="8"/>
    </row>
    <row r="383" spans="3:8" ht="14.5" x14ac:dyDescent="0.35">
      <c r="C383" s="8"/>
      <c r="H383" s="8"/>
    </row>
    <row r="384" spans="3:8" ht="14.5" x14ac:dyDescent="0.35">
      <c r="C384" s="8"/>
      <c r="H384" s="8"/>
    </row>
    <row r="385" spans="3:8" ht="14.5" x14ac:dyDescent="0.35">
      <c r="C385" s="8"/>
      <c r="H385" s="8"/>
    </row>
    <row r="386" spans="3:8" ht="14.5" x14ac:dyDescent="0.35">
      <c r="C386" s="8"/>
      <c r="H386" s="8"/>
    </row>
    <row r="387" spans="3:8" ht="14.5" x14ac:dyDescent="0.35">
      <c r="C387" s="8"/>
      <c r="H387" s="8"/>
    </row>
    <row r="388" spans="3:8" ht="14.5" x14ac:dyDescent="0.35">
      <c r="C388" s="8"/>
      <c r="H388" s="8"/>
    </row>
    <row r="389" spans="3:8" ht="14.5" x14ac:dyDescent="0.35">
      <c r="C389" s="8"/>
      <c r="H389" s="8"/>
    </row>
    <row r="390" spans="3:8" ht="14.5" x14ac:dyDescent="0.35">
      <c r="C390" s="8"/>
      <c r="H390" s="8"/>
    </row>
    <row r="391" spans="3:8" ht="14.5" x14ac:dyDescent="0.35">
      <c r="C391" s="8"/>
      <c r="H391" s="8"/>
    </row>
    <row r="392" spans="3:8" ht="14.5" x14ac:dyDescent="0.35">
      <c r="C392" s="8"/>
      <c r="H392" s="8"/>
    </row>
    <row r="393" spans="3:8" ht="14.5" x14ac:dyDescent="0.35">
      <c r="C393" s="8"/>
      <c r="H393" s="8"/>
    </row>
    <row r="394" spans="3:8" ht="14.5" x14ac:dyDescent="0.35">
      <c r="C394" s="8"/>
      <c r="H394" s="8"/>
    </row>
    <row r="395" spans="3:8" ht="14.5" x14ac:dyDescent="0.35">
      <c r="C395" s="8"/>
      <c r="H395" s="8"/>
    </row>
    <row r="396" spans="3:8" ht="14.5" x14ac:dyDescent="0.35">
      <c r="C396" s="8"/>
      <c r="H396" s="8"/>
    </row>
    <row r="397" spans="3:8" ht="14.5" x14ac:dyDescent="0.35">
      <c r="C397" s="8"/>
      <c r="H397" s="8"/>
    </row>
    <row r="398" spans="3:8" ht="14.5" x14ac:dyDescent="0.35">
      <c r="C398" s="8"/>
      <c r="H398" s="8"/>
    </row>
    <row r="399" spans="3:8" ht="14.5" x14ac:dyDescent="0.35">
      <c r="C399" s="8"/>
      <c r="H399" s="8"/>
    </row>
    <row r="400" spans="3:8" ht="14.5" x14ac:dyDescent="0.35">
      <c r="C400" s="8"/>
      <c r="H400" s="8"/>
    </row>
    <row r="401" spans="3:8" ht="14.5" x14ac:dyDescent="0.35">
      <c r="C401" s="8"/>
      <c r="H401" s="8"/>
    </row>
    <row r="402" spans="3:8" ht="14.5" x14ac:dyDescent="0.35">
      <c r="C402" s="8"/>
      <c r="H402" s="8"/>
    </row>
    <row r="403" spans="3:8" ht="14.5" x14ac:dyDescent="0.35">
      <c r="C403" s="8"/>
      <c r="H403" s="8"/>
    </row>
    <row r="404" spans="3:8" ht="14.5" x14ac:dyDescent="0.35">
      <c r="C404" s="8"/>
      <c r="H404" s="8"/>
    </row>
    <row r="405" spans="3:8" ht="14.5" x14ac:dyDescent="0.35">
      <c r="C405" s="8"/>
      <c r="H405" s="8"/>
    </row>
    <row r="406" spans="3:8" ht="14.5" x14ac:dyDescent="0.35">
      <c r="C406" s="8"/>
      <c r="H406" s="8"/>
    </row>
    <row r="407" spans="3:8" ht="14.5" x14ac:dyDescent="0.35">
      <c r="C407" s="8"/>
      <c r="H407" s="8"/>
    </row>
    <row r="408" spans="3:8" ht="14.5" x14ac:dyDescent="0.35">
      <c r="C408" s="8"/>
      <c r="H408" s="8"/>
    </row>
    <row r="409" spans="3:8" ht="14.5" x14ac:dyDescent="0.35">
      <c r="C409" s="8"/>
      <c r="H409" s="8"/>
    </row>
    <row r="410" spans="3:8" ht="14.5" x14ac:dyDescent="0.35">
      <c r="C410" s="8"/>
      <c r="H410" s="8"/>
    </row>
    <row r="411" spans="3:8" ht="14.5" x14ac:dyDescent="0.35">
      <c r="C411" s="8"/>
      <c r="H411" s="8"/>
    </row>
    <row r="412" spans="3:8" ht="14.5" x14ac:dyDescent="0.35">
      <c r="C412" s="8"/>
      <c r="H412" s="8"/>
    </row>
    <row r="413" spans="3:8" ht="14.5" x14ac:dyDescent="0.35">
      <c r="C413" s="8"/>
      <c r="H413" s="8"/>
    </row>
    <row r="414" spans="3:8" ht="14.5" x14ac:dyDescent="0.35">
      <c r="C414" s="8"/>
      <c r="H414" s="8"/>
    </row>
    <row r="415" spans="3:8" ht="14.5" x14ac:dyDescent="0.35">
      <c r="C415" s="8"/>
      <c r="H415" s="8"/>
    </row>
    <row r="416" spans="3:8" ht="14.5" x14ac:dyDescent="0.35">
      <c r="C416" s="8"/>
      <c r="H416" s="8"/>
    </row>
    <row r="417" spans="3:8" ht="14.5" x14ac:dyDescent="0.35">
      <c r="C417" s="8"/>
      <c r="H417" s="8"/>
    </row>
    <row r="418" spans="3:8" ht="14.5" x14ac:dyDescent="0.35">
      <c r="C418" s="8"/>
      <c r="H418" s="8"/>
    </row>
    <row r="419" spans="3:8" ht="14.5" x14ac:dyDescent="0.35">
      <c r="C419" s="8"/>
      <c r="H419" s="8"/>
    </row>
    <row r="420" spans="3:8" ht="14.5" x14ac:dyDescent="0.35">
      <c r="C420" s="8"/>
      <c r="H420" s="8"/>
    </row>
    <row r="421" spans="3:8" ht="14.5" x14ac:dyDescent="0.35">
      <c r="C421" s="8"/>
      <c r="H421" s="8"/>
    </row>
    <row r="422" spans="3:8" ht="14.5" x14ac:dyDescent="0.35">
      <c r="C422" s="8"/>
      <c r="H422" s="8"/>
    </row>
    <row r="423" spans="3:8" ht="14.5" x14ac:dyDescent="0.35">
      <c r="C423" s="8"/>
      <c r="H423" s="8"/>
    </row>
    <row r="424" spans="3:8" ht="14.5" x14ac:dyDescent="0.35">
      <c r="C424" s="8"/>
      <c r="H424" s="8"/>
    </row>
    <row r="425" spans="3:8" ht="14.5" x14ac:dyDescent="0.35">
      <c r="C425" s="8"/>
      <c r="H425" s="8"/>
    </row>
    <row r="426" spans="3:8" ht="14.5" x14ac:dyDescent="0.35">
      <c r="C426" s="8"/>
      <c r="H426" s="8"/>
    </row>
    <row r="427" spans="3:8" ht="14.5" x14ac:dyDescent="0.35">
      <c r="C427" s="8"/>
      <c r="H427" s="8"/>
    </row>
    <row r="428" spans="3:8" ht="14.5" x14ac:dyDescent="0.35">
      <c r="C428" s="8"/>
      <c r="H428" s="8"/>
    </row>
    <row r="429" spans="3:8" ht="14.5" x14ac:dyDescent="0.35">
      <c r="C429" s="8"/>
      <c r="H429" s="8"/>
    </row>
    <row r="430" spans="3:8" ht="14.5" x14ac:dyDescent="0.35">
      <c r="C430" s="8"/>
      <c r="H430" s="8"/>
    </row>
    <row r="431" spans="3:8" ht="14.5" x14ac:dyDescent="0.35">
      <c r="C431" s="8"/>
      <c r="H431" s="8"/>
    </row>
    <row r="432" spans="3:8" ht="14.5" x14ac:dyDescent="0.35">
      <c r="C432" s="8"/>
      <c r="H432" s="8"/>
    </row>
    <row r="433" spans="3:8" ht="14.5" x14ac:dyDescent="0.35">
      <c r="C433" s="8"/>
      <c r="H433" s="8"/>
    </row>
    <row r="434" spans="3:8" ht="14.5" x14ac:dyDescent="0.35">
      <c r="C434" s="8"/>
      <c r="H434" s="8"/>
    </row>
    <row r="435" spans="3:8" ht="14.5" x14ac:dyDescent="0.35">
      <c r="C435" s="8"/>
      <c r="H435" s="8"/>
    </row>
    <row r="436" spans="3:8" ht="14.5" x14ac:dyDescent="0.35">
      <c r="C436" s="8"/>
      <c r="H436" s="8"/>
    </row>
    <row r="437" spans="3:8" ht="14.5" x14ac:dyDescent="0.35">
      <c r="C437" s="8"/>
      <c r="H437" s="8"/>
    </row>
    <row r="438" spans="3:8" ht="14.5" x14ac:dyDescent="0.35">
      <c r="C438" s="8"/>
      <c r="H438" s="8"/>
    </row>
    <row r="439" spans="3:8" ht="14.5" x14ac:dyDescent="0.35">
      <c r="C439" s="8"/>
      <c r="H439" s="8"/>
    </row>
    <row r="440" spans="3:8" ht="14.5" x14ac:dyDescent="0.35">
      <c r="C440" s="8"/>
      <c r="H440" s="8"/>
    </row>
    <row r="441" spans="3:8" ht="14.5" x14ac:dyDescent="0.35">
      <c r="C441" s="8"/>
      <c r="H441" s="8"/>
    </row>
    <row r="442" spans="3:8" ht="14.5" x14ac:dyDescent="0.35">
      <c r="C442" s="8"/>
      <c r="H442" s="8"/>
    </row>
    <row r="443" spans="3:8" ht="14.5" x14ac:dyDescent="0.35">
      <c r="C443" s="8"/>
      <c r="H443" s="8"/>
    </row>
    <row r="444" spans="3:8" ht="14.5" x14ac:dyDescent="0.35">
      <c r="C444" s="8"/>
      <c r="H444" s="8"/>
    </row>
    <row r="445" spans="3:8" ht="14.5" x14ac:dyDescent="0.35">
      <c r="C445" s="8"/>
      <c r="H445" s="8"/>
    </row>
    <row r="446" spans="3:8" ht="14.5" x14ac:dyDescent="0.35">
      <c r="C446" s="8"/>
      <c r="H446" s="8"/>
    </row>
    <row r="447" spans="3:8" ht="14.5" x14ac:dyDescent="0.35">
      <c r="C447" s="8"/>
      <c r="H447" s="8"/>
    </row>
    <row r="448" spans="3:8" ht="14.5" x14ac:dyDescent="0.35">
      <c r="C448" s="8"/>
      <c r="H448" s="8"/>
    </row>
    <row r="449" spans="3:8" ht="14.5" x14ac:dyDescent="0.35">
      <c r="C449" s="8"/>
      <c r="H449" s="8"/>
    </row>
    <row r="450" spans="3:8" ht="14.5" x14ac:dyDescent="0.35">
      <c r="C450" s="8"/>
      <c r="H450" s="8"/>
    </row>
    <row r="451" spans="3:8" ht="14.5" x14ac:dyDescent="0.35">
      <c r="C451" s="8"/>
      <c r="H451" s="8"/>
    </row>
    <row r="452" spans="3:8" ht="14.5" x14ac:dyDescent="0.35">
      <c r="C452" s="8"/>
      <c r="H452" s="8"/>
    </row>
    <row r="453" spans="3:8" ht="14.5" x14ac:dyDescent="0.35">
      <c r="C453" s="8"/>
      <c r="H453" s="8"/>
    </row>
    <row r="454" spans="3:8" ht="14.5" x14ac:dyDescent="0.35">
      <c r="C454" s="8"/>
      <c r="H454" s="8"/>
    </row>
    <row r="455" spans="3:8" ht="14.5" x14ac:dyDescent="0.35">
      <c r="C455" s="8"/>
      <c r="H455" s="8"/>
    </row>
    <row r="456" spans="3:8" ht="14.5" x14ac:dyDescent="0.35">
      <c r="C456" s="8"/>
      <c r="H456" s="8"/>
    </row>
    <row r="457" spans="3:8" ht="14.5" x14ac:dyDescent="0.35">
      <c r="C457" s="8"/>
      <c r="H457" s="8"/>
    </row>
    <row r="458" spans="3:8" ht="14.5" x14ac:dyDescent="0.35">
      <c r="C458" s="8"/>
      <c r="H458" s="8"/>
    </row>
    <row r="459" spans="3:8" ht="14.5" x14ac:dyDescent="0.35">
      <c r="C459" s="8"/>
      <c r="H459" s="8"/>
    </row>
    <row r="460" spans="3:8" ht="14.5" x14ac:dyDescent="0.35">
      <c r="C460" s="8"/>
      <c r="H460" s="8"/>
    </row>
    <row r="461" spans="3:8" ht="14.5" x14ac:dyDescent="0.35">
      <c r="C461" s="8"/>
      <c r="H461" s="8"/>
    </row>
    <row r="462" spans="3:8" ht="14.5" x14ac:dyDescent="0.35">
      <c r="C462" s="8"/>
      <c r="H462" s="8"/>
    </row>
    <row r="463" spans="3:8" ht="14.5" x14ac:dyDescent="0.35">
      <c r="C463" s="8"/>
      <c r="H463" s="8"/>
    </row>
    <row r="464" spans="3:8" ht="14.5" x14ac:dyDescent="0.35">
      <c r="C464" s="8"/>
      <c r="H464" s="8"/>
    </row>
    <row r="465" spans="3:8" ht="14.5" x14ac:dyDescent="0.35">
      <c r="C465" s="8"/>
      <c r="H465" s="8"/>
    </row>
    <row r="466" spans="3:8" ht="14.5" x14ac:dyDescent="0.35">
      <c r="C466" s="8"/>
      <c r="H466" s="8"/>
    </row>
    <row r="467" spans="3:8" ht="14.5" x14ac:dyDescent="0.35">
      <c r="C467" s="8"/>
      <c r="H467" s="8"/>
    </row>
    <row r="468" spans="3:8" ht="14.5" x14ac:dyDescent="0.35">
      <c r="C468" s="8"/>
      <c r="H468" s="8"/>
    </row>
    <row r="469" spans="3:8" ht="14.5" x14ac:dyDescent="0.35">
      <c r="C469" s="8"/>
      <c r="H469" s="8"/>
    </row>
    <row r="470" spans="3:8" ht="14.5" x14ac:dyDescent="0.35">
      <c r="C470" s="8"/>
      <c r="H470" s="8"/>
    </row>
    <row r="471" spans="3:8" ht="14.5" x14ac:dyDescent="0.35">
      <c r="C471" s="8"/>
      <c r="H471" s="8"/>
    </row>
    <row r="472" spans="3:8" ht="14.5" x14ac:dyDescent="0.35">
      <c r="C472" s="8"/>
      <c r="H472" s="8"/>
    </row>
    <row r="473" spans="3:8" ht="14.5" x14ac:dyDescent="0.35">
      <c r="C473" s="8"/>
      <c r="H473" s="8"/>
    </row>
    <row r="474" spans="3:8" ht="14.5" x14ac:dyDescent="0.35">
      <c r="C474" s="8"/>
      <c r="H474" s="8"/>
    </row>
    <row r="475" spans="3:8" ht="14.5" x14ac:dyDescent="0.35">
      <c r="C475" s="8"/>
      <c r="H475" s="8"/>
    </row>
    <row r="476" spans="3:8" ht="14.5" x14ac:dyDescent="0.35">
      <c r="C476" s="8"/>
      <c r="H476" s="8"/>
    </row>
    <row r="477" spans="3:8" ht="14.5" x14ac:dyDescent="0.35">
      <c r="C477" s="8"/>
      <c r="H477" s="8"/>
    </row>
    <row r="478" spans="3:8" ht="14.5" x14ac:dyDescent="0.35">
      <c r="C478" s="8"/>
      <c r="H478" s="8"/>
    </row>
    <row r="479" spans="3:8" ht="14.5" x14ac:dyDescent="0.35">
      <c r="C479" s="8"/>
      <c r="H479" s="8"/>
    </row>
    <row r="480" spans="3:8" ht="14.5" x14ac:dyDescent="0.35">
      <c r="C480" s="8"/>
      <c r="H480" s="8"/>
    </row>
    <row r="481" spans="3:8" ht="14.5" x14ac:dyDescent="0.35">
      <c r="C481" s="8"/>
      <c r="H481" s="8"/>
    </row>
    <row r="482" spans="3:8" ht="14.5" x14ac:dyDescent="0.35">
      <c r="C482" s="8"/>
      <c r="H482" s="8"/>
    </row>
    <row r="483" spans="3:8" ht="14.5" x14ac:dyDescent="0.35">
      <c r="C483" s="8"/>
      <c r="H483" s="8"/>
    </row>
    <row r="484" spans="3:8" ht="14.5" x14ac:dyDescent="0.35">
      <c r="C484" s="8"/>
      <c r="H484" s="8"/>
    </row>
    <row r="485" spans="3:8" ht="14.5" x14ac:dyDescent="0.35">
      <c r="C485" s="8"/>
      <c r="H485" s="8"/>
    </row>
    <row r="486" spans="3:8" ht="14.5" x14ac:dyDescent="0.35">
      <c r="C486" s="8"/>
      <c r="H486" s="8"/>
    </row>
    <row r="487" spans="3:8" ht="14.5" x14ac:dyDescent="0.35">
      <c r="C487" s="8"/>
      <c r="H487" s="8"/>
    </row>
    <row r="488" spans="3:8" ht="14.5" x14ac:dyDescent="0.35">
      <c r="C488" s="8"/>
      <c r="H488" s="8"/>
    </row>
    <row r="489" spans="3:8" ht="14.5" x14ac:dyDescent="0.35">
      <c r="C489" s="8"/>
      <c r="H489" s="8"/>
    </row>
    <row r="490" spans="3:8" ht="14.5" x14ac:dyDescent="0.35">
      <c r="C490" s="8"/>
      <c r="H490" s="8"/>
    </row>
    <row r="491" spans="3:8" ht="14.5" x14ac:dyDescent="0.35">
      <c r="C491" s="8"/>
      <c r="H491" s="8"/>
    </row>
    <row r="492" spans="3:8" ht="14.5" x14ac:dyDescent="0.35">
      <c r="C492" s="8"/>
      <c r="H492" s="8"/>
    </row>
    <row r="493" spans="3:8" ht="14.5" x14ac:dyDescent="0.35">
      <c r="C493" s="8"/>
      <c r="H493" s="8"/>
    </row>
    <row r="494" spans="3:8" ht="14.5" x14ac:dyDescent="0.35">
      <c r="C494" s="8"/>
      <c r="H494" s="8"/>
    </row>
    <row r="495" spans="3:8" ht="14.5" x14ac:dyDescent="0.35">
      <c r="C495" s="8"/>
      <c r="H495" s="8"/>
    </row>
    <row r="496" spans="3:8" ht="14.5" x14ac:dyDescent="0.35">
      <c r="C496" s="8"/>
      <c r="H496" s="8"/>
    </row>
    <row r="497" spans="3:8" ht="14.5" x14ac:dyDescent="0.35">
      <c r="C497" s="8"/>
      <c r="H497" s="8"/>
    </row>
    <row r="498" spans="3:8" ht="14.5" x14ac:dyDescent="0.35">
      <c r="C498" s="8"/>
      <c r="H498" s="8"/>
    </row>
    <row r="499" spans="3:8" ht="14.5" x14ac:dyDescent="0.35">
      <c r="C499" s="8"/>
      <c r="H499" s="8"/>
    </row>
    <row r="500" spans="3:8" ht="14.5" x14ac:dyDescent="0.35">
      <c r="C500" s="8"/>
      <c r="H500" s="8"/>
    </row>
    <row r="501" spans="3:8" ht="14.5" x14ac:dyDescent="0.35">
      <c r="C501" s="8"/>
      <c r="H501" s="8"/>
    </row>
    <row r="502" spans="3:8" ht="14.5" x14ac:dyDescent="0.35">
      <c r="C502" s="8"/>
      <c r="H502" s="8"/>
    </row>
    <row r="503" spans="3:8" ht="14.5" x14ac:dyDescent="0.35">
      <c r="C503" s="8"/>
      <c r="H503" s="8"/>
    </row>
    <row r="504" spans="3:8" ht="14.5" x14ac:dyDescent="0.35">
      <c r="C504" s="8"/>
      <c r="H504" s="8"/>
    </row>
    <row r="505" spans="3:8" ht="14.5" x14ac:dyDescent="0.35">
      <c r="C505" s="8"/>
      <c r="H505" s="8"/>
    </row>
    <row r="506" spans="3:8" ht="14.5" x14ac:dyDescent="0.35">
      <c r="C506" s="8"/>
      <c r="H506" s="8"/>
    </row>
    <row r="507" spans="3:8" ht="14.5" x14ac:dyDescent="0.35">
      <c r="C507" s="8"/>
      <c r="H507" s="8"/>
    </row>
    <row r="508" spans="3:8" ht="14.5" x14ac:dyDescent="0.35">
      <c r="C508" s="8"/>
      <c r="H508" s="8"/>
    </row>
    <row r="509" spans="3:8" ht="14.5" x14ac:dyDescent="0.35">
      <c r="C509" s="8"/>
      <c r="H509" s="8"/>
    </row>
    <row r="510" spans="3:8" ht="14.5" x14ac:dyDescent="0.35">
      <c r="C510" s="8"/>
      <c r="H510" s="8"/>
    </row>
    <row r="511" spans="3:8" ht="14.5" x14ac:dyDescent="0.35">
      <c r="C511" s="8"/>
      <c r="H511" s="8"/>
    </row>
    <row r="512" spans="3:8" ht="14.5" x14ac:dyDescent="0.35">
      <c r="C512" s="8"/>
      <c r="H512" s="8"/>
    </row>
    <row r="513" spans="3:8" ht="14.5" x14ac:dyDescent="0.35">
      <c r="C513" s="8"/>
      <c r="H513" s="8"/>
    </row>
    <row r="514" spans="3:8" ht="14.5" x14ac:dyDescent="0.35">
      <c r="C514" s="8"/>
      <c r="H514" s="8"/>
    </row>
    <row r="515" spans="3:8" ht="14.5" x14ac:dyDescent="0.35">
      <c r="C515" s="8"/>
      <c r="H515" s="8"/>
    </row>
    <row r="516" spans="3:8" ht="14.5" x14ac:dyDescent="0.35">
      <c r="C516" s="8"/>
      <c r="H516" s="8"/>
    </row>
    <row r="517" spans="3:8" ht="14.5" x14ac:dyDescent="0.35">
      <c r="C517" s="8"/>
      <c r="H517" s="8"/>
    </row>
    <row r="518" spans="3:8" ht="14.5" x14ac:dyDescent="0.35">
      <c r="C518" s="8"/>
      <c r="H518" s="8"/>
    </row>
    <row r="519" spans="3:8" ht="14.5" x14ac:dyDescent="0.35">
      <c r="C519" s="8"/>
      <c r="H519" s="8"/>
    </row>
    <row r="520" spans="3:8" ht="14.5" x14ac:dyDescent="0.35">
      <c r="C520" s="8"/>
      <c r="H520" s="8"/>
    </row>
    <row r="521" spans="3:8" ht="14.5" x14ac:dyDescent="0.35">
      <c r="C521" s="8"/>
      <c r="H521" s="8"/>
    </row>
    <row r="522" spans="3:8" ht="14.5" x14ac:dyDescent="0.35">
      <c r="C522" s="8"/>
      <c r="H522" s="8"/>
    </row>
    <row r="523" spans="3:8" ht="14.5" x14ac:dyDescent="0.35">
      <c r="C523" s="8"/>
      <c r="H523" s="8"/>
    </row>
    <row r="524" spans="3:8" ht="14.5" x14ac:dyDescent="0.35">
      <c r="C524" s="8"/>
      <c r="H524" s="8"/>
    </row>
    <row r="525" spans="3:8" ht="14.5" x14ac:dyDescent="0.35">
      <c r="C525" s="8"/>
      <c r="H525" s="8"/>
    </row>
    <row r="526" spans="3:8" ht="14.5" x14ac:dyDescent="0.35">
      <c r="C526" s="8"/>
      <c r="H526" s="8"/>
    </row>
    <row r="527" spans="3:8" ht="14.5" x14ac:dyDescent="0.35">
      <c r="C527" s="8"/>
      <c r="H527" s="8"/>
    </row>
    <row r="528" spans="3:8" ht="14.5" x14ac:dyDescent="0.35">
      <c r="C528" s="8"/>
      <c r="H528" s="8"/>
    </row>
    <row r="529" spans="3:8" ht="14.5" x14ac:dyDescent="0.35">
      <c r="C529" s="8"/>
      <c r="H529" s="8"/>
    </row>
    <row r="530" spans="3:8" ht="14.5" x14ac:dyDescent="0.35">
      <c r="C530" s="8"/>
      <c r="H530" s="8"/>
    </row>
    <row r="531" spans="3:8" ht="14.5" x14ac:dyDescent="0.35">
      <c r="C531" s="8"/>
      <c r="H531" s="8"/>
    </row>
    <row r="532" spans="3:8" ht="14.5" x14ac:dyDescent="0.35">
      <c r="C532" s="8"/>
      <c r="H532" s="8"/>
    </row>
    <row r="533" spans="3:8" ht="14.5" x14ac:dyDescent="0.35">
      <c r="C533" s="8"/>
      <c r="H533" s="8"/>
    </row>
    <row r="534" spans="3:8" ht="14.5" x14ac:dyDescent="0.35">
      <c r="C534" s="8"/>
      <c r="H534" s="8"/>
    </row>
    <row r="535" spans="3:8" ht="14.5" x14ac:dyDescent="0.35">
      <c r="C535" s="8"/>
      <c r="H535" s="8"/>
    </row>
    <row r="536" spans="3:8" ht="14.5" x14ac:dyDescent="0.35">
      <c r="C536" s="8"/>
      <c r="H536" s="8"/>
    </row>
    <row r="537" spans="3:8" ht="14.5" x14ac:dyDescent="0.35">
      <c r="C537" s="8"/>
      <c r="H537" s="8"/>
    </row>
    <row r="538" spans="3:8" ht="14.5" x14ac:dyDescent="0.35">
      <c r="C538" s="8"/>
      <c r="H538" s="8"/>
    </row>
    <row r="539" spans="3:8" ht="14.5" x14ac:dyDescent="0.35">
      <c r="C539" s="8"/>
      <c r="H539" s="8"/>
    </row>
    <row r="540" spans="3:8" ht="14.5" x14ac:dyDescent="0.35">
      <c r="C540" s="8"/>
      <c r="H540" s="8"/>
    </row>
    <row r="541" spans="3:8" ht="14.5" x14ac:dyDescent="0.35">
      <c r="C541" s="8"/>
      <c r="H541" s="8"/>
    </row>
    <row r="542" spans="3:8" ht="14.5" x14ac:dyDescent="0.35">
      <c r="C542" s="8"/>
      <c r="H542" s="8"/>
    </row>
    <row r="543" spans="3:8" ht="14.5" x14ac:dyDescent="0.35">
      <c r="C543" s="8"/>
      <c r="H543" s="8"/>
    </row>
    <row r="544" spans="3:8" ht="14.5" x14ac:dyDescent="0.35">
      <c r="C544" s="8"/>
      <c r="H544" s="8"/>
    </row>
    <row r="545" spans="3:8" ht="14.5" x14ac:dyDescent="0.35">
      <c r="C545" s="8"/>
      <c r="H545" s="8"/>
    </row>
    <row r="546" spans="3:8" ht="14.5" x14ac:dyDescent="0.35">
      <c r="C546" s="8"/>
      <c r="H546" s="8"/>
    </row>
    <row r="547" spans="3:8" ht="14.5" x14ac:dyDescent="0.35">
      <c r="C547" s="8"/>
      <c r="H547" s="8"/>
    </row>
    <row r="548" spans="3:8" ht="14.5" x14ac:dyDescent="0.35">
      <c r="C548" s="8"/>
      <c r="H548" s="8"/>
    </row>
    <row r="549" spans="3:8" ht="14.5" x14ac:dyDescent="0.35">
      <c r="C549" s="8"/>
      <c r="H549" s="8"/>
    </row>
    <row r="550" spans="3:8" ht="14.5" x14ac:dyDescent="0.35">
      <c r="C550" s="8"/>
      <c r="H550" s="8"/>
    </row>
    <row r="551" spans="3:8" ht="14.5" x14ac:dyDescent="0.35">
      <c r="C551" s="8"/>
      <c r="H551" s="8"/>
    </row>
    <row r="552" spans="3:8" ht="14.5" x14ac:dyDescent="0.35">
      <c r="C552" s="8"/>
      <c r="H552" s="8"/>
    </row>
    <row r="553" spans="3:8" ht="14.5" x14ac:dyDescent="0.35">
      <c r="C553" s="8"/>
      <c r="H553" s="8"/>
    </row>
    <row r="554" spans="3:8" ht="14.5" x14ac:dyDescent="0.35">
      <c r="C554" s="8"/>
      <c r="H554" s="8"/>
    </row>
    <row r="555" spans="3:8" ht="14.5" x14ac:dyDescent="0.35">
      <c r="C555" s="8"/>
      <c r="H555" s="8"/>
    </row>
    <row r="556" spans="3:8" ht="14.5" x14ac:dyDescent="0.35">
      <c r="C556" s="8"/>
      <c r="H556" s="8"/>
    </row>
    <row r="557" spans="3:8" ht="14.5" x14ac:dyDescent="0.35">
      <c r="C557" s="8"/>
      <c r="H557" s="8"/>
    </row>
    <row r="558" spans="3:8" ht="14.5" x14ac:dyDescent="0.35">
      <c r="C558" s="8"/>
      <c r="H558" s="8"/>
    </row>
    <row r="559" spans="3:8" ht="14.5" x14ac:dyDescent="0.35">
      <c r="C559" s="8"/>
      <c r="H559" s="8"/>
    </row>
    <row r="560" spans="3:8" ht="14.5" x14ac:dyDescent="0.35">
      <c r="C560" s="8"/>
      <c r="H560" s="8"/>
    </row>
    <row r="561" spans="3:8" ht="14.5" x14ac:dyDescent="0.35">
      <c r="C561" s="8"/>
      <c r="H561" s="8"/>
    </row>
    <row r="562" spans="3:8" ht="14.5" x14ac:dyDescent="0.35">
      <c r="C562" s="8"/>
      <c r="H562" s="8"/>
    </row>
    <row r="563" spans="3:8" ht="14.5" x14ac:dyDescent="0.35">
      <c r="C563" s="8"/>
      <c r="H563" s="8"/>
    </row>
    <row r="564" spans="3:8" ht="14.5" x14ac:dyDescent="0.35">
      <c r="C564" s="8"/>
      <c r="H564" s="8"/>
    </row>
    <row r="565" spans="3:8" ht="14.5" x14ac:dyDescent="0.35">
      <c r="C565" s="8"/>
      <c r="H565" s="8"/>
    </row>
    <row r="566" spans="3:8" ht="14.5" x14ac:dyDescent="0.35">
      <c r="C566" s="8"/>
      <c r="H566" s="8"/>
    </row>
    <row r="567" spans="3:8" ht="14.5" x14ac:dyDescent="0.35">
      <c r="C567" s="8"/>
      <c r="H567" s="8"/>
    </row>
    <row r="568" spans="3:8" ht="14.5" x14ac:dyDescent="0.35">
      <c r="C568" s="8"/>
      <c r="H568" s="8"/>
    </row>
    <row r="569" spans="3:8" ht="14.5" x14ac:dyDescent="0.35">
      <c r="C569" s="8"/>
      <c r="H569" s="8"/>
    </row>
    <row r="570" spans="3:8" ht="14.5" x14ac:dyDescent="0.35">
      <c r="C570" s="8"/>
      <c r="H570" s="8"/>
    </row>
    <row r="571" spans="3:8" ht="14.5" x14ac:dyDescent="0.35">
      <c r="C571" s="8"/>
      <c r="H571" s="8"/>
    </row>
    <row r="572" spans="3:8" ht="14.5" x14ac:dyDescent="0.35">
      <c r="C572" s="8"/>
      <c r="H572" s="8"/>
    </row>
    <row r="573" spans="3:8" ht="14.5" x14ac:dyDescent="0.35">
      <c r="C573" s="8"/>
      <c r="H573" s="8"/>
    </row>
    <row r="574" spans="3:8" ht="14.5" x14ac:dyDescent="0.35">
      <c r="C574" s="8"/>
      <c r="H574" s="8"/>
    </row>
    <row r="575" spans="3:8" ht="14.5" x14ac:dyDescent="0.35">
      <c r="C575" s="8"/>
      <c r="H575" s="8"/>
    </row>
    <row r="576" spans="3:8" ht="14.5" x14ac:dyDescent="0.35">
      <c r="C576" s="8"/>
      <c r="H576" s="8"/>
    </row>
    <row r="577" spans="3:8" ht="14.5" x14ac:dyDescent="0.35">
      <c r="C577" s="8"/>
      <c r="H577" s="8"/>
    </row>
    <row r="578" spans="3:8" ht="14.5" x14ac:dyDescent="0.35">
      <c r="C578" s="8"/>
      <c r="H578" s="8"/>
    </row>
    <row r="579" spans="3:8" ht="14.5" x14ac:dyDescent="0.35">
      <c r="C579" s="8"/>
      <c r="H579" s="8"/>
    </row>
    <row r="580" spans="3:8" ht="14.5" x14ac:dyDescent="0.35">
      <c r="C580" s="8"/>
      <c r="H580" s="8"/>
    </row>
    <row r="581" spans="3:8" ht="14.5" x14ac:dyDescent="0.35">
      <c r="C581" s="8"/>
      <c r="H581" s="8"/>
    </row>
    <row r="582" spans="3:8" ht="14.5" x14ac:dyDescent="0.35">
      <c r="C582" s="8"/>
      <c r="H582" s="8"/>
    </row>
    <row r="583" spans="3:8" ht="14.5" x14ac:dyDescent="0.35">
      <c r="C583" s="8"/>
      <c r="H583" s="8"/>
    </row>
    <row r="584" spans="3:8" ht="14.5" x14ac:dyDescent="0.35">
      <c r="C584" s="8"/>
      <c r="H584" s="8"/>
    </row>
    <row r="585" spans="3:8" ht="14.5" x14ac:dyDescent="0.35">
      <c r="C585" s="8"/>
      <c r="H585" s="8"/>
    </row>
    <row r="586" spans="3:8" ht="14.5" x14ac:dyDescent="0.35">
      <c r="C586" s="8"/>
      <c r="H586" s="8"/>
    </row>
    <row r="587" spans="3:8" ht="14.5" x14ac:dyDescent="0.35">
      <c r="C587" s="8"/>
      <c r="H587" s="8"/>
    </row>
    <row r="588" spans="3:8" ht="14.5" x14ac:dyDescent="0.35">
      <c r="C588" s="8"/>
      <c r="H588" s="8"/>
    </row>
    <row r="589" spans="3:8" ht="14.5" x14ac:dyDescent="0.35">
      <c r="C589" s="8"/>
      <c r="H589" s="8"/>
    </row>
    <row r="590" spans="3:8" ht="14.5" x14ac:dyDescent="0.35">
      <c r="C590" s="8"/>
      <c r="H590" s="8"/>
    </row>
    <row r="591" spans="3:8" ht="14.5" x14ac:dyDescent="0.35">
      <c r="C591" s="8"/>
      <c r="H591" s="8"/>
    </row>
    <row r="592" spans="3:8" ht="14.5" x14ac:dyDescent="0.35">
      <c r="C592" s="8"/>
      <c r="H592" s="8"/>
    </row>
    <row r="593" spans="3:8" ht="14.5" x14ac:dyDescent="0.35">
      <c r="C593" s="8"/>
      <c r="H593" s="8"/>
    </row>
    <row r="594" spans="3:8" ht="14.5" x14ac:dyDescent="0.35">
      <c r="C594" s="8"/>
      <c r="H594" s="8"/>
    </row>
    <row r="595" spans="3:8" ht="14.5" x14ac:dyDescent="0.35">
      <c r="C595" s="8"/>
      <c r="H595" s="8"/>
    </row>
    <row r="596" spans="3:8" ht="14.5" x14ac:dyDescent="0.35">
      <c r="C596" s="8"/>
      <c r="H596" s="8"/>
    </row>
    <row r="597" spans="3:8" ht="14.5" x14ac:dyDescent="0.35">
      <c r="C597" s="8"/>
      <c r="H597" s="8"/>
    </row>
    <row r="598" spans="3:8" ht="14.5" x14ac:dyDescent="0.35">
      <c r="C598" s="8"/>
      <c r="H598" s="8"/>
    </row>
    <row r="599" spans="3:8" ht="14.5" x14ac:dyDescent="0.35">
      <c r="C599" s="8"/>
      <c r="H599" s="8"/>
    </row>
    <row r="600" spans="3:8" ht="14.5" x14ac:dyDescent="0.35">
      <c r="C600" s="8"/>
      <c r="H600" s="8"/>
    </row>
    <row r="601" spans="3:8" ht="14.5" x14ac:dyDescent="0.35">
      <c r="C601" s="8"/>
      <c r="H601" s="8"/>
    </row>
    <row r="602" spans="3:8" ht="14.5" x14ac:dyDescent="0.35">
      <c r="C602" s="8"/>
      <c r="H602" s="8"/>
    </row>
    <row r="603" spans="3:8" ht="14.5" x14ac:dyDescent="0.35">
      <c r="C603" s="8"/>
      <c r="H603" s="8"/>
    </row>
    <row r="604" spans="3:8" ht="14.5" x14ac:dyDescent="0.35">
      <c r="C604" s="8"/>
      <c r="H604" s="8"/>
    </row>
    <row r="605" spans="3:8" ht="14.5" x14ac:dyDescent="0.35">
      <c r="C605" s="8"/>
      <c r="H605" s="8"/>
    </row>
    <row r="606" spans="3:8" ht="14.5" x14ac:dyDescent="0.35">
      <c r="C606" s="8"/>
      <c r="H606" s="8"/>
    </row>
    <row r="607" spans="3:8" ht="14.5" x14ac:dyDescent="0.35">
      <c r="C607" s="8"/>
      <c r="H607" s="8"/>
    </row>
    <row r="608" spans="3:8" ht="14.5" x14ac:dyDescent="0.35">
      <c r="C608" s="8"/>
      <c r="H608" s="8"/>
    </row>
    <row r="609" spans="3:8" ht="14.5" x14ac:dyDescent="0.35">
      <c r="C609" s="8"/>
      <c r="H609" s="8"/>
    </row>
    <row r="610" spans="3:8" ht="14.5" x14ac:dyDescent="0.35">
      <c r="C610" s="8"/>
      <c r="H610" s="8"/>
    </row>
    <row r="611" spans="3:8" ht="14.5" x14ac:dyDescent="0.35">
      <c r="C611" s="8"/>
      <c r="H611" s="8"/>
    </row>
    <row r="612" spans="3:8" ht="14.5" x14ac:dyDescent="0.35">
      <c r="C612" s="8"/>
      <c r="H612" s="8"/>
    </row>
    <row r="613" spans="3:8" ht="14.5" x14ac:dyDescent="0.35">
      <c r="C613" s="8"/>
      <c r="H613" s="8"/>
    </row>
    <row r="614" spans="3:8" ht="14.5" x14ac:dyDescent="0.35">
      <c r="C614" s="8"/>
      <c r="H614" s="8"/>
    </row>
    <row r="615" spans="3:8" ht="14.5" x14ac:dyDescent="0.35">
      <c r="C615" s="8"/>
      <c r="H615" s="8"/>
    </row>
    <row r="616" spans="3:8" ht="14.5" x14ac:dyDescent="0.35">
      <c r="C616" s="8"/>
      <c r="H616" s="8"/>
    </row>
    <row r="617" spans="3:8" ht="14.5" x14ac:dyDescent="0.35">
      <c r="C617" s="8"/>
      <c r="H617" s="8"/>
    </row>
    <row r="618" spans="3:8" ht="14.5" x14ac:dyDescent="0.35">
      <c r="C618" s="8"/>
      <c r="H618" s="8"/>
    </row>
    <row r="619" spans="3:8" ht="14.5" x14ac:dyDescent="0.35">
      <c r="C619" s="8"/>
      <c r="H619" s="8"/>
    </row>
    <row r="620" spans="3:8" ht="14.5" x14ac:dyDescent="0.35">
      <c r="C620" s="8"/>
      <c r="H620" s="8"/>
    </row>
    <row r="621" spans="3:8" ht="14.5" x14ac:dyDescent="0.35">
      <c r="C621" s="8"/>
      <c r="H621" s="8"/>
    </row>
    <row r="622" spans="3:8" ht="14.5" x14ac:dyDescent="0.35">
      <c r="C622" s="8"/>
      <c r="H622" s="8"/>
    </row>
    <row r="623" spans="3:8" ht="14.5" x14ac:dyDescent="0.35">
      <c r="C623" s="8"/>
      <c r="H623" s="8"/>
    </row>
    <row r="624" spans="3:8" ht="14.5" x14ac:dyDescent="0.35">
      <c r="C624" s="8"/>
      <c r="H624" s="8"/>
    </row>
    <row r="625" spans="3:8" ht="14.5" x14ac:dyDescent="0.35">
      <c r="C625" s="8"/>
      <c r="H625" s="8"/>
    </row>
    <row r="626" spans="3:8" ht="14.5" x14ac:dyDescent="0.35">
      <c r="C626" s="8"/>
      <c r="H626" s="8"/>
    </row>
    <row r="627" spans="3:8" ht="14.5" x14ac:dyDescent="0.35">
      <c r="C627" s="8"/>
      <c r="H627" s="8"/>
    </row>
    <row r="628" spans="3:8" ht="14.5" x14ac:dyDescent="0.35">
      <c r="C628" s="8"/>
      <c r="H628" s="8"/>
    </row>
    <row r="629" spans="3:8" ht="14.5" x14ac:dyDescent="0.35">
      <c r="C629" s="8"/>
      <c r="H629" s="8"/>
    </row>
    <row r="630" spans="3:8" ht="14.5" x14ac:dyDescent="0.35">
      <c r="C630" s="8"/>
      <c r="H630" s="8"/>
    </row>
    <row r="631" spans="3:8" ht="14.5" x14ac:dyDescent="0.35">
      <c r="C631" s="8"/>
      <c r="H631" s="8"/>
    </row>
    <row r="632" spans="3:8" ht="14.5" x14ac:dyDescent="0.35">
      <c r="C632" s="8"/>
      <c r="H632" s="8"/>
    </row>
    <row r="633" spans="3:8" ht="14.5" x14ac:dyDescent="0.35">
      <c r="C633" s="8"/>
      <c r="H633" s="8"/>
    </row>
    <row r="634" spans="3:8" ht="14.5" x14ac:dyDescent="0.35">
      <c r="C634" s="8"/>
      <c r="H634" s="8"/>
    </row>
    <row r="635" spans="3:8" ht="14.5" x14ac:dyDescent="0.35">
      <c r="C635" s="8"/>
      <c r="H635" s="8"/>
    </row>
    <row r="636" spans="3:8" ht="14.5" x14ac:dyDescent="0.35">
      <c r="C636" s="8"/>
      <c r="H636" s="8"/>
    </row>
    <row r="637" spans="3:8" ht="14.5" x14ac:dyDescent="0.35">
      <c r="C637" s="8"/>
      <c r="H637" s="8"/>
    </row>
    <row r="638" spans="3:8" ht="14.5" x14ac:dyDescent="0.35">
      <c r="C638" s="8"/>
      <c r="H638" s="8"/>
    </row>
    <row r="639" spans="3:8" ht="14.5" x14ac:dyDescent="0.35">
      <c r="C639" s="8"/>
      <c r="H639" s="8"/>
    </row>
    <row r="640" spans="3:8" ht="14.5" x14ac:dyDescent="0.35">
      <c r="C640" s="8"/>
      <c r="H640" s="8"/>
    </row>
    <row r="641" spans="3:8" ht="14.5" x14ac:dyDescent="0.35">
      <c r="C641" s="8"/>
      <c r="H641" s="8"/>
    </row>
    <row r="642" spans="3:8" ht="14.5" x14ac:dyDescent="0.35">
      <c r="C642" s="8"/>
      <c r="H642" s="8"/>
    </row>
    <row r="643" spans="3:8" ht="14.5" x14ac:dyDescent="0.35">
      <c r="C643" s="8"/>
      <c r="H643" s="8"/>
    </row>
    <row r="644" spans="3:8" ht="14.5" x14ac:dyDescent="0.35">
      <c r="C644" s="8"/>
      <c r="H644" s="8"/>
    </row>
    <row r="645" spans="3:8" ht="14.5" x14ac:dyDescent="0.35">
      <c r="C645" s="8"/>
      <c r="H645" s="8"/>
    </row>
    <row r="646" spans="3:8" ht="14.5" x14ac:dyDescent="0.35">
      <c r="C646" s="8"/>
      <c r="H646" s="8"/>
    </row>
    <row r="647" spans="3:8" ht="14.5" x14ac:dyDescent="0.35">
      <c r="C647" s="8"/>
      <c r="H647" s="8"/>
    </row>
    <row r="648" spans="3:8" ht="14.5" x14ac:dyDescent="0.35">
      <c r="C648" s="8"/>
      <c r="H648" s="8"/>
    </row>
    <row r="649" spans="3:8" ht="14.5" x14ac:dyDescent="0.35">
      <c r="C649" s="8"/>
      <c r="H649" s="8"/>
    </row>
    <row r="650" spans="3:8" ht="14.5" x14ac:dyDescent="0.35">
      <c r="C650" s="8"/>
      <c r="H650" s="8"/>
    </row>
    <row r="651" spans="3:8" ht="14.5" x14ac:dyDescent="0.35">
      <c r="C651" s="8"/>
      <c r="H651" s="8"/>
    </row>
    <row r="652" spans="3:8" ht="14.5" x14ac:dyDescent="0.35">
      <c r="C652" s="8"/>
      <c r="H652" s="8"/>
    </row>
    <row r="653" spans="3:8" ht="14.5" x14ac:dyDescent="0.35">
      <c r="C653" s="8"/>
      <c r="H653" s="8"/>
    </row>
    <row r="654" spans="3:8" ht="14.5" x14ac:dyDescent="0.35">
      <c r="C654" s="8"/>
      <c r="H654" s="8"/>
    </row>
    <row r="655" spans="3:8" ht="14.5" x14ac:dyDescent="0.35">
      <c r="C655" s="8"/>
      <c r="H655" s="8"/>
    </row>
    <row r="656" spans="3:8" ht="14.5" x14ac:dyDescent="0.35">
      <c r="C656" s="8"/>
      <c r="H656" s="8"/>
    </row>
    <row r="657" spans="3:8" ht="14.5" x14ac:dyDescent="0.35">
      <c r="C657" s="8"/>
      <c r="H657" s="8"/>
    </row>
    <row r="658" spans="3:8" ht="14.5" x14ac:dyDescent="0.35">
      <c r="C658" s="8"/>
      <c r="H658" s="8"/>
    </row>
    <row r="659" spans="3:8" ht="14.5" x14ac:dyDescent="0.35">
      <c r="C659" s="8"/>
      <c r="H659" s="8"/>
    </row>
    <row r="660" spans="3:8" ht="14.5" x14ac:dyDescent="0.35">
      <c r="C660" s="8"/>
      <c r="H660" s="8"/>
    </row>
    <row r="661" spans="3:8" ht="14.5" x14ac:dyDescent="0.35">
      <c r="C661" s="8"/>
      <c r="H661" s="8"/>
    </row>
    <row r="662" spans="3:8" ht="14.5" x14ac:dyDescent="0.35">
      <c r="C662" s="8"/>
      <c r="H662" s="8"/>
    </row>
    <row r="663" spans="3:8" ht="14.5" x14ac:dyDescent="0.35">
      <c r="C663" s="8"/>
      <c r="H663" s="8"/>
    </row>
    <row r="664" spans="3:8" ht="14.5" x14ac:dyDescent="0.35">
      <c r="C664" s="8"/>
      <c r="H664" s="8"/>
    </row>
    <row r="665" spans="3:8" ht="14.5" x14ac:dyDescent="0.35">
      <c r="C665" s="8"/>
      <c r="H665" s="8"/>
    </row>
    <row r="666" spans="3:8" ht="14.5" x14ac:dyDescent="0.35">
      <c r="C666" s="8"/>
      <c r="H666" s="8"/>
    </row>
    <row r="667" spans="3:8" ht="14.5" x14ac:dyDescent="0.35">
      <c r="C667" s="8"/>
      <c r="H667" s="8"/>
    </row>
    <row r="668" spans="3:8" ht="14.5" x14ac:dyDescent="0.35">
      <c r="C668" s="8"/>
      <c r="H668" s="8"/>
    </row>
    <row r="669" spans="3:8" ht="14.5" x14ac:dyDescent="0.35">
      <c r="C669" s="8"/>
      <c r="H669" s="8"/>
    </row>
    <row r="670" spans="3:8" ht="14.5" x14ac:dyDescent="0.35">
      <c r="C670" s="8"/>
      <c r="H670" s="8"/>
    </row>
    <row r="671" spans="3:8" ht="14.5" x14ac:dyDescent="0.35">
      <c r="C671" s="8"/>
      <c r="H671" s="8"/>
    </row>
    <row r="672" spans="3:8" ht="14.5" x14ac:dyDescent="0.35">
      <c r="C672" s="8"/>
      <c r="H672" s="8"/>
    </row>
    <row r="673" spans="3:8" ht="14.5" x14ac:dyDescent="0.35">
      <c r="C673" s="8"/>
      <c r="H673" s="8"/>
    </row>
    <row r="674" spans="3:8" ht="14.5" x14ac:dyDescent="0.35">
      <c r="C674" s="8"/>
      <c r="H674" s="8"/>
    </row>
    <row r="675" spans="3:8" ht="14.5" x14ac:dyDescent="0.35">
      <c r="C675" s="8"/>
      <c r="H675" s="8"/>
    </row>
    <row r="676" spans="3:8" ht="14.5" x14ac:dyDescent="0.35">
      <c r="C676" s="8"/>
      <c r="H676" s="8"/>
    </row>
    <row r="677" spans="3:8" ht="14.5" x14ac:dyDescent="0.35">
      <c r="C677" s="8"/>
      <c r="H677" s="8"/>
    </row>
    <row r="678" spans="3:8" ht="14.5" x14ac:dyDescent="0.35">
      <c r="C678" s="8"/>
      <c r="H678" s="8"/>
    </row>
    <row r="679" spans="3:8" ht="14.5" x14ac:dyDescent="0.35">
      <c r="C679" s="8"/>
      <c r="H679" s="8"/>
    </row>
    <row r="680" spans="3:8" ht="14.5" x14ac:dyDescent="0.35">
      <c r="C680" s="8"/>
      <c r="H680" s="8"/>
    </row>
    <row r="681" spans="3:8" ht="14.5" x14ac:dyDescent="0.35">
      <c r="C681" s="8"/>
      <c r="H681" s="8"/>
    </row>
    <row r="682" spans="3:8" ht="14.5" x14ac:dyDescent="0.35">
      <c r="C682" s="8"/>
      <c r="H682" s="8"/>
    </row>
    <row r="683" spans="3:8" ht="14.5" x14ac:dyDescent="0.35">
      <c r="C683" s="8"/>
      <c r="H683" s="8"/>
    </row>
    <row r="684" spans="3:8" ht="14.5" x14ac:dyDescent="0.35">
      <c r="C684" s="8"/>
      <c r="H684" s="8"/>
    </row>
    <row r="685" spans="3:8" ht="14.5" x14ac:dyDescent="0.35">
      <c r="C685" s="8"/>
      <c r="H685" s="8"/>
    </row>
    <row r="686" spans="3:8" ht="14.5" x14ac:dyDescent="0.35">
      <c r="C686" s="8"/>
      <c r="H686" s="8"/>
    </row>
    <row r="687" spans="3:8" ht="14.5" x14ac:dyDescent="0.35">
      <c r="C687" s="8"/>
      <c r="H687" s="8"/>
    </row>
    <row r="688" spans="3:8" ht="14.5" x14ac:dyDescent="0.35">
      <c r="C688" s="8"/>
      <c r="H688" s="8"/>
    </row>
    <row r="689" spans="3:8" ht="14.5" x14ac:dyDescent="0.35">
      <c r="C689" s="8"/>
      <c r="H689" s="8"/>
    </row>
    <row r="690" spans="3:8" ht="14.5" x14ac:dyDescent="0.35">
      <c r="C690" s="8"/>
      <c r="H690" s="8"/>
    </row>
    <row r="691" spans="3:8" ht="14.5" x14ac:dyDescent="0.35">
      <c r="C691" s="8"/>
      <c r="H691" s="8"/>
    </row>
    <row r="692" spans="3:8" ht="14.5" x14ac:dyDescent="0.35">
      <c r="C692" s="8"/>
      <c r="H692" s="8"/>
    </row>
    <row r="693" spans="3:8" ht="14.5" x14ac:dyDescent="0.35">
      <c r="C693" s="8"/>
      <c r="H693" s="8"/>
    </row>
    <row r="694" spans="3:8" ht="14.5" x14ac:dyDescent="0.35">
      <c r="C694" s="8"/>
      <c r="H694" s="8"/>
    </row>
    <row r="695" spans="3:8" ht="14.5" x14ac:dyDescent="0.35">
      <c r="C695" s="8"/>
      <c r="H695" s="8"/>
    </row>
    <row r="696" spans="3:8" ht="14.5" x14ac:dyDescent="0.35">
      <c r="C696" s="8"/>
      <c r="H696" s="8"/>
    </row>
    <row r="697" spans="3:8" ht="14.5" x14ac:dyDescent="0.35">
      <c r="C697" s="8"/>
      <c r="H697" s="8"/>
    </row>
    <row r="698" spans="3:8" ht="14.5" x14ac:dyDescent="0.35">
      <c r="C698" s="8"/>
      <c r="H698" s="8"/>
    </row>
    <row r="699" spans="3:8" ht="14.5" x14ac:dyDescent="0.35">
      <c r="C699" s="8"/>
      <c r="H699" s="8"/>
    </row>
    <row r="700" spans="3:8" ht="14.5" x14ac:dyDescent="0.35">
      <c r="C700" s="8"/>
      <c r="H700" s="8"/>
    </row>
    <row r="701" spans="3:8" ht="14.5" x14ac:dyDescent="0.35">
      <c r="C701" s="8"/>
      <c r="H701" s="8"/>
    </row>
    <row r="702" spans="3:8" ht="14.5" x14ac:dyDescent="0.35">
      <c r="C702" s="8"/>
      <c r="H702" s="8"/>
    </row>
    <row r="703" spans="3:8" ht="14.5" x14ac:dyDescent="0.35">
      <c r="C703" s="8"/>
      <c r="H703" s="8"/>
    </row>
    <row r="704" spans="3:8" ht="14.5" x14ac:dyDescent="0.35">
      <c r="C704" s="8"/>
      <c r="H704" s="8"/>
    </row>
    <row r="705" spans="3:8" ht="14.5" x14ac:dyDescent="0.35">
      <c r="C705" s="8"/>
      <c r="H705" s="8"/>
    </row>
    <row r="706" spans="3:8" ht="14.5" x14ac:dyDescent="0.35">
      <c r="C706" s="8"/>
      <c r="H706" s="8"/>
    </row>
    <row r="707" spans="3:8" ht="14.5" x14ac:dyDescent="0.35">
      <c r="C707" s="8"/>
      <c r="H707" s="8"/>
    </row>
    <row r="708" spans="3:8" ht="14.5" x14ac:dyDescent="0.35">
      <c r="C708" s="8"/>
      <c r="H708" s="8"/>
    </row>
    <row r="709" spans="3:8" ht="14.5" x14ac:dyDescent="0.35">
      <c r="C709" s="8"/>
      <c r="H709" s="8"/>
    </row>
    <row r="710" spans="3:8" ht="14.5" x14ac:dyDescent="0.35">
      <c r="C710" s="8"/>
      <c r="H710" s="8"/>
    </row>
    <row r="711" spans="3:8" ht="14.5" x14ac:dyDescent="0.35">
      <c r="C711" s="8"/>
      <c r="H711" s="8"/>
    </row>
    <row r="712" spans="3:8" ht="14.5" x14ac:dyDescent="0.35">
      <c r="C712" s="8"/>
      <c r="H712" s="8"/>
    </row>
    <row r="713" spans="3:8" ht="14.5" x14ac:dyDescent="0.35">
      <c r="C713" s="8"/>
      <c r="H713" s="8"/>
    </row>
    <row r="714" spans="3:8" ht="14.5" x14ac:dyDescent="0.35">
      <c r="C714" s="8"/>
      <c r="H714" s="8"/>
    </row>
    <row r="715" spans="3:8" ht="14.5" x14ac:dyDescent="0.35">
      <c r="C715" s="8"/>
      <c r="H715" s="8"/>
    </row>
    <row r="716" spans="3:8" ht="14.5" x14ac:dyDescent="0.35">
      <c r="C716" s="8"/>
      <c r="H716" s="8"/>
    </row>
    <row r="717" spans="3:8" ht="14.5" x14ac:dyDescent="0.35">
      <c r="C717" s="8"/>
      <c r="H717" s="8"/>
    </row>
    <row r="718" spans="3:8" ht="14.5" x14ac:dyDescent="0.35">
      <c r="C718" s="8"/>
      <c r="H718" s="8"/>
    </row>
    <row r="719" spans="3:8" ht="14.5" x14ac:dyDescent="0.35">
      <c r="C719" s="8"/>
      <c r="H719" s="8"/>
    </row>
    <row r="720" spans="3:8" ht="14.5" x14ac:dyDescent="0.35">
      <c r="C720" s="8"/>
      <c r="H720" s="8"/>
    </row>
    <row r="721" spans="3:8" ht="14.5" x14ac:dyDescent="0.35">
      <c r="C721" s="8"/>
      <c r="H721" s="8"/>
    </row>
    <row r="722" spans="3:8" ht="14.5" x14ac:dyDescent="0.35">
      <c r="C722" s="8"/>
      <c r="H722" s="8"/>
    </row>
    <row r="723" spans="3:8" ht="14.5" x14ac:dyDescent="0.35">
      <c r="C723" s="8"/>
      <c r="H723" s="8"/>
    </row>
    <row r="724" spans="3:8" ht="14.5" x14ac:dyDescent="0.35">
      <c r="C724" s="8"/>
      <c r="H724" s="8"/>
    </row>
    <row r="725" spans="3:8" ht="14.5" x14ac:dyDescent="0.35">
      <c r="C725" s="8"/>
      <c r="H725" s="8"/>
    </row>
    <row r="726" spans="3:8" ht="14.5" x14ac:dyDescent="0.35">
      <c r="C726" s="8"/>
      <c r="H726" s="8"/>
    </row>
    <row r="727" spans="3:8" ht="14.5" x14ac:dyDescent="0.35">
      <c r="C727" s="8"/>
      <c r="H727" s="8"/>
    </row>
    <row r="728" spans="3:8" ht="14.5" x14ac:dyDescent="0.35">
      <c r="C728" s="8"/>
      <c r="H728" s="8"/>
    </row>
    <row r="729" spans="3:8" ht="14.5" x14ac:dyDescent="0.35">
      <c r="C729" s="8"/>
      <c r="H729" s="8"/>
    </row>
    <row r="730" spans="3:8" ht="14.5" x14ac:dyDescent="0.35">
      <c r="C730" s="8"/>
      <c r="H730" s="8"/>
    </row>
    <row r="731" spans="3:8" ht="14.5" x14ac:dyDescent="0.35">
      <c r="C731" s="8"/>
      <c r="H731" s="8"/>
    </row>
    <row r="732" spans="3:8" ht="14.5" x14ac:dyDescent="0.35">
      <c r="C732" s="8"/>
      <c r="H732" s="8"/>
    </row>
    <row r="733" spans="3:8" ht="14.5" x14ac:dyDescent="0.35">
      <c r="C733" s="8"/>
      <c r="H733" s="8"/>
    </row>
    <row r="734" spans="3:8" ht="14.5" x14ac:dyDescent="0.35">
      <c r="C734" s="8"/>
      <c r="H734" s="8"/>
    </row>
    <row r="735" spans="3:8" ht="14.5" x14ac:dyDescent="0.35">
      <c r="C735" s="8"/>
      <c r="H735" s="8"/>
    </row>
    <row r="736" spans="3:8" ht="14.5" x14ac:dyDescent="0.35">
      <c r="C736" s="8"/>
      <c r="H736" s="8"/>
    </row>
    <row r="737" spans="3:8" ht="14.5" x14ac:dyDescent="0.35">
      <c r="C737" s="8"/>
      <c r="H737" s="8"/>
    </row>
    <row r="738" spans="3:8" ht="14.5" x14ac:dyDescent="0.35">
      <c r="C738" s="8"/>
      <c r="H738" s="8"/>
    </row>
    <row r="739" spans="3:8" ht="14.5" x14ac:dyDescent="0.35">
      <c r="C739" s="8"/>
      <c r="H739" s="8"/>
    </row>
    <row r="740" spans="3:8" ht="14.5" x14ac:dyDescent="0.35">
      <c r="C740" s="8"/>
      <c r="H740" s="8"/>
    </row>
    <row r="741" spans="3:8" ht="14.5" x14ac:dyDescent="0.35">
      <c r="C741" s="8"/>
      <c r="H741" s="8"/>
    </row>
    <row r="742" spans="3:8" ht="14.5" x14ac:dyDescent="0.35">
      <c r="C742" s="8"/>
      <c r="H742" s="8"/>
    </row>
    <row r="743" spans="3:8" ht="14.5" x14ac:dyDescent="0.35">
      <c r="C743" s="8"/>
      <c r="H743" s="8"/>
    </row>
    <row r="744" spans="3:8" ht="14.5" x14ac:dyDescent="0.35">
      <c r="C744" s="8"/>
      <c r="H744" s="8"/>
    </row>
    <row r="745" spans="3:8" ht="14.5" x14ac:dyDescent="0.35">
      <c r="C745" s="8"/>
      <c r="H745" s="8"/>
    </row>
    <row r="746" spans="3:8" ht="14.5" x14ac:dyDescent="0.35">
      <c r="C746" s="8"/>
      <c r="H746" s="8"/>
    </row>
    <row r="747" spans="3:8" ht="14.5" x14ac:dyDescent="0.35">
      <c r="C747" s="8"/>
      <c r="H747" s="8"/>
    </row>
    <row r="748" spans="3:8" ht="14.5" x14ac:dyDescent="0.35">
      <c r="C748" s="8"/>
      <c r="H748" s="8"/>
    </row>
    <row r="749" spans="3:8" ht="14.5" x14ac:dyDescent="0.35">
      <c r="C749" s="8"/>
      <c r="H749" s="8"/>
    </row>
    <row r="750" spans="3:8" ht="14.5" x14ac:dyDescent="0.35">
      <c r="C750" s="8"/>
      <c r="H750" s="8"/>
    </row>
    <row r="751" spans="3:8" ht="14.5" x14ac:dyDescent="0.35">
      <c r="C751" s="8"/>
      <c r="H751" s="8"/>
    </row>
    <row r="752" spans="3:8" ht="14.5" x14ac:dyDescent="0.35">
      <c r="C752" s="8"/>
      <c r="H752" s="8"/>
    </row>
    <row r="753" spans="3:8" ht="14.5" x14ac:dyDescent="0.35">
      <c r="C753" s="8"/>
      <c r="H753" s="8"/>
    </row>
    <row r="754" spans="3:8" ht="14.5" x14ac:dyDescent="0.35">
      <c r="C754" s="8"/>
      <c r="H754" s="8"/>
    </row>
    <row r="755" spans="3:8" ht="14.5" x14ac:dyDescent="0.35">
      <c r="C755" s="8"/>
      <c r="H755" s="8"/>
    </row>
    <row r="756" spans="3:8" ht="14.5" x14ac:dyDescent="0.35">
      <c r="C756" s="8"/>
      <c r="H756" s="8"/>
    </row>
    <row r="757" spans="3:8" ht="14.5" x14ac:dyDescent="0.35">
      <c r="C757" s="8"/>
      <c r="H757" s="8"/>
    </row>
    <row r="758" spans="3:8" ht="14.5" x14ac:dyDescent="0.35">
      <c r="C758" s="8"/>
      <c r="H758" s="8"/>
    </row>
    <row r="759" spans="3:8" ht="14.5" x14ac:dyDescent="0.35">
      <c r="C759" s="8"/>
      <c r="H759" s="8"/>
    </row>
    <row r="760" spans="3:8" ht="14.5" x14ac:dyDescent="0.35">
      <c r="C760" s="8"/>
      <c r="H760" s="8"/>
    </row>
    <row r="761" spans="3:8" ht="14.5" x14ac:dyDescent="0.35">
      <c r="C761" s="8"/>
      <c r="H761" s="8"/>
    </row>
    <row r="762" spans="3:8" ht="14.5" x14ac:dyDescent="0.35">
      <c r="C762" s="8"/>
      <c r="H762" s="8"/>
    </row>
    <row r="763" spans="3:8" ht="14.5" x14ac:dyDescent="0.35">
      <c r="C763" s="8"/>
      <c r="H763" s="8"/>
    </row>
    <row r="764" spans="3:8" ht="14.5" x14ac:dyDescent="0.35">
      <c r="C764" s="8"/>
      <c r="H764" s="8"/>
    </row>
    <row r="765" spans="3:8" ht="14.5" x14ac:dyDescent="0.35">
      <c r="C765" s="8"/>
      <c r="H765" s="8"/>
    </row>
    <row r="766" spans="3:8" ht="14.5" x14ac:dyDescent="0.35">
      <c r="C766" s="8"/>
      <c r="H766" s="8"/>
    </row>
    <row r="767" spans="3:8" ht="14.5" x14ac:dyDescent="0.35">
      <c r="C767" s="8"/>
      <c r="H767" s="8"/>
    </row>
    <row r="768" spans="3:8" ht="14.5" x14ac:dyDescent="0.35">
      <c r="C768" s="8"/>
      <c r="H768" s="8"/>
    </row>
    <row r="769" spans="3:8" ht="14.5" x14ac:dyDescent="0.35">
      <c r="C769" s="8"/>
      <c r="H769" s="8"/>
    </row>
    <row r="770" spans="3:8" ht="14.5" x14ac:dyDescent="0.35">
      <c r="C770" s="8"/>
      <c r="H770" s="8"/>
    </row>
    <row r="771" spans="3:8" ht="14.5" x14ac:dyDescent="0.35">
      <c r="C771" s="8"/>
      <c r="H771" s="8"/>
    </row>
    <row r="772" spans="3:8" ht="14.5" x14ac:dyDescent="0.35">
      <c r="C772" s="8"/>
      <c r="H772" s="8"/>
    </row>
    <row r="773" spans="3:8" ht="14.5" x14ac:dyDescent="0.35">
      <c r="C773" s="8"/>
      <c r="H773" s="8"/>
    </row>
    <row r="774" spans="3:8" ht="14.5" x14ac:dyDescent="0.35">
      <c r="C774" s="8"/>
      <c r="H774" s="8"/>
    </row>
    <row r="775" spans="3:8" ht="14.5" x14ac:dyDescent="0.35">
      <c r="C775" s="8"/>
      <c r="H775" s="8"/>
    </row>
    <row r="776" spans="3:8" ht="14.5" x14ac:dyDescent="0.35">
      <c r="C776" s="8"/>
      <c r="H776" s="8"/>
    </row>
    <row r="777" spans="3:8" ht="14.5" x14ac:dyDescent="0.35">
      <c r="C777" s="8"/>
      <c r="H777" s="8"/>
    </row>
    <row r="778" spans="3:8" ht="14.5" x14ac:dyDescent="0.35">
      <c r="C778" s="8"/>
      <c r="H778" s="8"/>
    </row>
    <row r="779" spans="3:8" ht="14.5" x14ac:dyDescent="0.35">
      <c r="C779" s="8"/>
      <c r="H779" s="8"/>
    </row>
    <row r="780" spans="3:8" ht="14.5" x14ac:dyDescent="0.35">
      <c r="C780" s="8"/>
      <c r="H780" s="8"/>
    </row>
    <row r="781" spans="3:8" ht="14.5" x14ac:dyDescent="0.35">
      <c r="C781" s="8"/>
      <c r="H781" s="8"/>
    </row>
    <row r="782" spans="3:8" ht="14.5" x14ac:dyDescent="0.35">
      <c r="C782" s="8"/>
      <c r="H782" s="8"/>
    </row>
    <row r="783" spans="3:8" ht="14.5" x14ac:dyDescent="0.35">
      <c r="C783" s="8"/>
      <c r="H783" s="8"/>
    </row>
    <row r="784" spans="3:8" ht="14.5" x14ac:dyDescent="0.35">
      <c r="C784" s="8"/>
      <c r="H784" s="8"/>
    </row>
    <row r="785" spans="3:8" ht="14.5" x14ac:dyDescent="0.35">
      <c r="C785" s="8"/>
      <c r="H785" s="8"/>
    </row>
    <row r="786" spans="3:8" ht="14.5" x14ac:dyDescent="0.35">
      <c r="C786" s="8"/>
      <c r="H786" s="8"/>
    </row>
    <row r="787" spans="3:8" ht="14.5" x14ac:dyDescent="0.35">
      <c r="C787" s="8"/>
      <c r="H787" s="8"/>
    </row>
    <row r="788" spans="3:8" ht="14.5" x14ac:dyDescent="0.35">
      <c r="C788" s="8"/>
      <c r="H788" s="8"/>
    </row>
    <row r="789" spans="3:8" ht="14.5" x14ac:dyDescent="0.35">
      <c r="C789" s="8"/>
      <c r="H789" s="8"/>
    </row>
    <row r="790" spans="3:8" ht="14.5" x14ac:dyDescent="0.35">
      <c r="C790" s="8"/>
      <c r="H790" s="8"/>
    </row>
    <row r="791" spans="3:8" ht="14.5" x14ac:dyDescent="0.35">
      <c r="C791" s="8"/>
      <c r="H791" s="8"/>
    </row>
    <row r="792" spans="3:8" ht="14.5" x14ac:dyDescent="0.35">
      <c r="C792" s="8"/>
      <c r="H792" s="8"/>
    </row>
    <row r="793" spans="3:8" ht="14.5" x14ac:dyDescent="0.35">
      <c r="C793" s="8"/>
      <c r="H793" s="8"/>
    </row>
    <row r="794" spans="3:8" ht="14.5" x14ac:dyDescent="0.35">
      <c r="C794" s="8"/>
      <c r="H794" s="8"/>
    </row>
    <row r="795" spans="3:8" ht="14.5" x14ac:dyDescent="0.35">
      <c r="C795" s="8"/>
      <c r="H795" s="8"/>
    </row>
    <row r="796" spans="3:8" ht="14.5" x14ac:dyDescent="0.35">
      <c r="C796" s="8"/>
      <c r="H796" s="8"/>
    </row>
    <row r="797" spans="3:8" ht="14.5" x14ac:dyDescent="0.35">
      <c r="C797" s="8"/>
      <c r="H797" s="8"/>
    </row>
    <row r="798" spans="3:8" ht="14.5" x14ac:dyDescent="0.35">
      <c r="C798" s="8"/>
      <c r="H798" s="8"/>
    </row>
    <row r="799" spans="3:8" ht="14.5" x14ac:dyDescent="0.35">
      <c r="C799" s="8"/>
      <c r="H799" s="8"/>
    </row>
    <row r="800" spans="3:8" ht="14.5" x14ac:dyDescent="0.35">
      <c r="C800" s="8"/>
      <c r="H800" s="8"/>
    </row>
    <row r="801" spans="3:8" ht="14.5" x14ac:dyDescent="0.35">
      <c r="C801" s="8"/>
      <c r="H801" s="8"/>
    </row>
    <row r="802" spans="3:8" ht="14.5" x14ac:dyDescent="0.35">
      <c r="C802" s="8"/>
      <c r="H802" s="8"/>
    </row>
    <row r="803" spans="3:8" ht="14.5" x14ac:dyDescent="0.35">
      <c r="C803" s="8"/>
      <c r="H803" s="8"/>
    </row>
    <row r="804" spans="3:8" ht="14.5" x14ac:dyDescent="0.35">
      <c r="C804" s="8"/>
      <c r="H804" s="8"/>
    </row>
    <row r="805" spans="3:8" ht="14.5" x14ac:dyDescent="0.35">
      <c r="C805" s="8"/>
      <c r="H805" s="8"/>
    </row>
    <row r="806" spans="3:8" ht="14.5" x14ac:dyDescent="0.35">
      <c r="C806" s="8"/>
      <c r="H806" s="8"/>
    </row>
    <row r="807" spans="3:8" ht="14.5" x14ac:dyDescent="0.35">
      <c r="C807" s="8"/>
      <c r="H807" s="8"/>
    </row>
    <row r="808" spans="3:8" ht="14.5" x14ac:dyDescent="0.35">
      <c r="C808" s="8"/>
      <c r="H808" s="8"/>
    </row>
    <row r="809" spans="3:8" ht="14.5" x14ac:dyDescent="0.35">
      <c r="C809" s="8"/>
      <c r="H809" s="8"/>
    </row>
    <row r="810" spans="3:8" ht="14.5" x14ac:dyDescent="0.35">
      <c r="C810" s="8"/>
      <c r="H810" s="8"/>
    </row>
    <row r="811" spans="3:8" ht="14.5" x14ac:dyDescent="0.35">
      <c r="C811" s="8"/>
      <c r="H811" s="8"/>
    </row>
    <row r="812" spans="3:8" ht="14.5" x14ac:dyDescent="0.35">
      <c r="C812" s="8"/>
      <c r="H812" s="8"/>
    </row>
    <row r="813" spans="3:8" ht="14.5" x14ac:dyDescent="0.35">
      <c r="C813" s="8"/>
      <c r="H813" s="8"/>
    </row>
    <row r="814" spans="3:8" ht="14.5" x14ac:dyDescent="0.35">
      <c r="C814" s="8"/>
      <c r="H814" s="8"/>
    </row>
    <row r="815" spans="3:8" ht="14.5" x14ac:dyDescent="0.35">
      <c r="C815" s="8"/>
      <c r="H815" s="8"/>
    </row>
    <row r="816" spans="3:8" ht="14.5" x14ac:dyDescent="0.35">
      <c r="C816" s="8"/>
      <c r="H816" s="8"/>
    </row>
    <row r="817" spans="3:8" ht="14.5" x14ac:dyDescent="0.35">
      <c r="C817" s="8"/>
      <c r="H817" s="8"/>
    </row>
    <row r="818" spans="3:8" ht="14.5" x14ac:dyDescent="0.35">
      <c r="C818" s="8"/>
      <c r="H818" s="8"/>
    </row>
    <row r="819" spans="3:8" ht="14.5" x14ac:dyDescent="0.35">
      <c r="C819" s="8"/>
      <c r="H819" s="8"/>
    </row>
    <row r="820" spans="3:8" ht="14.5" x14ac:dyDescent="0.35">
      <c r="C820" s="8"/>
      <c r="H820" s="8"/>
    </row>
    <row r="821" spans="3:8" ht="14.5" x14ac:dyDescent="0.35">
      <c r="C821" s="8"/>
      <c r="H821" s="8"/>
    </row>
    <row r="822" spans="3:8" ht="14.5" x14ac:dyDescent="0.35">
      <c r="C822" s="8"/>
      <c r="H822" s="8"/>
    </row>
    <row r="823" spans="3:8" ht="14.5" x14ac:dyDescent="0.35">
      <c r="C823" s="8"/>
      <c r="H823" s="8"/>
    </row>
    <row r="824" spans="3:8" ht="14.5" x14ac:dyDescent="0.35">
      <c r="C824" s="8"/>
      <c r="H824" s="8"/>
    </row>
    <row r="825" spans="3:8" ht="14.5" x14ac:dyDescent="0.35">
      <c r="C825" s="8"/>
      <c r="H825" s="8"/>
    </row>
    <row r="826" spans="3:8" ht="14.5" x14ac:dyDescent="0.35">
      <c r="C826" s="8"/>
      <c r="H826" s="8"/>
    </row>
    <row r="827" spans="3:8" ht="14.5" x14ac:dyDescent="0.35">
      <c r="C827" s="8"/>
      <c r="H827" s="8"/>
    </row>
    <row r="828" spans="3:8" ht="14.5" x14ac:dyDescent="0.35">
      <c r="C828" s="8"/>
      <c r="H828" s="8"/>
    </row>
    <row r="829" spans="3:8" ht="14.5" x14ac:dyDescent="0.35">
      <c r="C829" s="8"/>
      <c r="H829" s="8"/>
    </row>
    <row r="830" spans="3:8" ht="14.5" x14ac:dyDescent="0.35">
      <c r="C830" s="8"/>
      <c r="H830" s="8"/>
    </row>
    <row r="831" spans="3:8" ht="14.5" x14ac:dyDescent="0.35">
      <c r="C831" s="8"/>
      <c r="H831" s="8"/>
    </row>
    <row r="832" spans="3:8" ht="14.5" x14ac:dyDescent="0.35">
      <c r="C832" s="8"/>
      <c r="H832" s="8"/>
    </row>
    <row r="833" spans="3:8" ht="14.5" x14ac:dyDescent="0.35">
      <c r="C833" s="8"/>
      <c r="H833" s="8"/>
    </row>
    <row r="834" spans="3:8" ht="14.5" x14ac:dyDescent="0.35">
      <c r="C834" s="8"/>
      <c r="H834" s="8"/>
    </row>
    <row r="835" spans="3:8" ht="14.5" x14ac:dyDescent="0.35">
      <c r="C835" s="8"/>
      <c r="H835" s="8"/>
    </row>
    <row r="836" spans="3:8" ht="14.5" x14ac:dyDescent="0.35">
      <c r="C836" s="8"/>
      <c r="H836" s="8"/>
    </row>
    <row r="837" spans="3:8" ht="14.5" x14ac:dyDescent="0.35">
      <c r="C837" s="8"/>
      <c r="H837" s="8"/>
    </row>
    <row r="838" spans="3:8" ht="14.5" x14ac:dyDescent="0.35">
      <c r="C838" s="8"/>
      <c r="H838" s="8"/>
    </row>
    <row r="839" spans="3:8" ht="14.5" x14ac:dyDescent="0.35">
      <c r="C839" s="8"/>
      <c r="H839" s="8"/>
    </row>
    <row r="840" spans="3:8" ht="14.5" x14ac:dyDescent="0.35">
      <c r="C840" s="8"/>
      <c r="H840" s="8"/>
    </row>
    <row r="841" spans="3:8" ht="14.5" x14ac:dyDescent="0.35">
      <c r="C841" s="8"/>
      <c r="H841" s="8"/>
    </row>
    <row r="842" spans="3:8" ht="14.5" x14ac:dyDescent="0.35">
      <c r="C842" s="8"/>
      <c r="H842" s="8"/>
    </row>
    <row r="843" spans="3:8" ht="14.5" x14ac:dyDescent="0.35">
      <c r="C843" s="8"/>
      <c r="H843" s="8"/>
    </row>
    <row r="844" spans="3:8" ht="14.5" x14ac:dyDescent="0.35">
      <c r="C844" s="8"/>
      <c r="H844" s="8"/>
    </row>
    <row r="845" spans="3:8" ht="14.5" x14ac:dyDescent="0.35">
      <c r="C845" s="8"/>
      <c r="H845" s="8"/>
    </row>
    <row r="846" spans="3:8" ht="14.5" x14ac:dyDescent="0.35">
      <c r="C846" s="8"/>
      <c r="H846" s="8"/>
    </row>
    <row r="847" spans="3:8" ht="14.5" x14ac:dyDescent="0.35">
      <c r="C847" s="8"/>
      <c r="H847" s="8"/>
    </row>
    <row r="848" spans="3:8" ht="14.5" x14ac:dyDescent="0.35">
      <c r="C848" s="8"/>
      <c r="H848" s="8"/>
    </row>
    <row r="849" spans="3:8" ht="14.5" x14ac:dyDescent="0.35">
      <c r="C849" s="8"/>
      <c r="H849" s="8"/>
    </row>
    <row r="850" spans="3:8" ht="14.5" x14ac:dyDescent="0.35">
      <c r="C850" s="8"/>
      <c r="H850" s="8"/>
    </row>
    <row r="851" spans="3:8" ht="14.5" x14ac:dyDescent="0.35">
      <c r="C851" s="8"/>
      <c r="H851" s="8"/>
    </row>
    <row r="852" spans="3:8" ht="14.5" x14ac:dyDescent="0.35">
      <c r="C852" s="8"/>
      <c r="H852" s="8"/>
    </row>
    <row r="853" spans="3:8" ht="14.5" x14ac:dyDescent="0.35">
      <c r="C853" s="8"/>
      <c r="H853" s="8"/>
    </row>
    <row r="854" spans="3:8" ht="14.5" x14ac:dyDescent="0.35">
      <c r="C854" s="8"/>
      <c r="H854" s="8"/>
    </row>
    <row r="855" spans="3:8" ht="14.5" x14ac:dyDescent="0.35">
      <c r="C855" s="8"/>
      <c r="H855" s="8"/>
    </row>
    <row r="856" spans="3:8" ht="14.5" x14ac:dyDescent="0.35">
      <c r="C856" s="8"/>
      <c r="H856" s="8"/>
    </row>
    <row r="857" spans="3:8" ht="14.5" x14ac:dyDescent="0.35">
      <c r="C857" s="8"/>
      <c r="H857" s="8"/>
    </row>
    <row r="858" spans="3:8" ht="14.5" x14ac:dyDescent="0.35">
      <c r="C858" s="8"/>
      <c r="H858" s="8"/>
    </row>
    <row r="859" spans="3:8" ht="14.5" x14ac:dyDescent="0.35">
      <c r="C859" s="8"/>
      <c r="H859" s="8"/>
    </row>
    <row r="860" spans="3:8" ht="14.5" x14ac:dyDescent="0.35">
      <c r="C860" s="8"/>
      <c r="H860" s="8"/>
    </row>
    <row r="861" spans="3:8" ht="14.5" x14ac:dyDescent="0.35">
      <c r="C861" s="8"/>
      <c r="H861" s="8"/>
    </row>
    <row r="862" spans="3:8" ht="14.5" x14ac:dyDescent="0.35">
      <c r="C862" s="8"/>
      <c r="H862" s="8"/>
    </row>
    <row r="863" spans="3:8" ht="14.5" x14ac:dyDescent="0.35">
      <c r="C863" s="8"/>
      <c r="H863" s="8"/>
    </row>
    <row r="864" spans="3:8" ht="14.5" x14ac:dyDescent="0.35">
      <c r="C864" s="8"/>
      <c r="H864" s="8"/>
    </row>
    <row r="865" spans="3:8" ht="14.5" x14ac:dyDescent="0.35">
      <c r="C865" s="8"/>
      <c r="H865" s="8"/>
    </row>
    <row r="866" spans="3:8" ht="14.5" x14ac:dyDescent="0.35">
      <c r="C866" s="8"/>
      <c r="H866" s="8"/>
    </row>
    <row r="867" spans="3:8" ht="14.5" x14ac:dyDescent="0.35">
      <c r="C867" s="8"/>
      <c r="H867" s="8"/>
    </row>
    <row r="868" spans="3:8" ht="14.5" x14ac:dyDescent="0.35">
      <c r="C868" s="8"/>
      <c r="H868" s="8"/>
    </row>
    <row r="869" spans="3:8" ht="14.5" x14ac:dyDescent="0.35">
      <c r="C869" s="8"/>
      <c r="H869" s="8"/>
    </row>
    <row r="870" spans="3:8" ht="14.5" x14ac:dyDescent="0.35">
      <c r="C870" s="8"/>
      <c r="H870" s="8"/>
    </row>
    <row r="871" spans="3:8" ht="14.5" x14ac:dyDescent="0.35">
      <c r="C871" s="8"/>
      <c r="H871" s="8"/>
    </row>
    <row r="872" spans="3:8" ht="14.5" x14ac:dyDescent="0.35">
      <c r="C872" s="8"/>
      <c r="H872" s="8"/>
    </row>
    <row r="873" spans="3:8" ht="14.5" x14ac:dyDescent="0.35">
      <c r="C873" s="8"/>
      <c r="H873" s="8"/>
    </row>
    <row r="874" spans="3:8" ht="14.5" x14ac:dyDescent="0.35">
      <c r="C874" s="8"/>
      <c r="H874" s="8"/>
    </row>
    <row r="875" spans="3:8" ht="14.5" x14ac:dyDescent="0.35">
      <c r="C875" s="8"/>
      <c r="H875" s="8"/>
    </row>
    <row r="876" spans="3:8" ht="14.5" x14ac:dyDescent="0.35">
      <c r="C876" s="8"/>
      <c r="H876" s="8"/>
    </row>
    <row r="877" spans="3:8" ht="14.5" x14ac:dyDescent="0.35">
      <c r="C877" s="8"/>
      <c r="H877" s="8"/>
    </row>
    <row r="878" spans="3:8" ht="14.5" x14ac:dyDescent="0.35">
      <c r="C878" s="8"/>
      <c r="H878" s="8"/>
    </row>
    <row r="879" spans="3:8" ht="14.5" x14ac:dyDescent="0.35">
      <c r="C879" s="8"/>
      <c r="H879" s="8"/>
    </row>
    <row r="880" spans="3:8" ht="14.5" x14ac:dyDescent="0.35">
      <c r="C880" s="8"/>
      <c r="H880" s="8"/>
    </row>
    <row r="881" spans="3:8" ht="14.5" x14ac:dyDescent="0.35">
      <c r="C881" s="8"/>
      <c r="H881" s="8"/>
    </row>
    <row r="882" spans="3:8" ht="14.5" x14ac:dyDescent="0.35">
      <c r="C882" s="8"/>
      <c r="H882" s="8"/>
    </row>
    <row r="883" spans="3:8" ht="14.5" x14ac:dyDescent="0.35">
      <c r="C883" s="8"/>
      <c r="H883" s="8"/>
    </row>
    <row r="884" spans="3:8" ht="14.5" x14ac:dyDescent="0.35">
      <c r="C884" s="8"/>
      <c r="H884" s="8"/>
    </row>
    <row r="885" spans="3:8" ht="14.5" x14ac:dyDescent="0.35">
      <c r="C885" s="8"/>
      <c r="H885" s="8"/>
    </row>
    <row r="886" spans="3:8" ht="14.5" x14ac:dyDescent="0.35">
      <c r="C886" s="8"/>
      <c r="H886" s="8"/>
    </row>
    <row r="887" spans="3:8" ht="14.5" x14ac:dyDescent="0.35">
      <c r="C887" s="8"/>
      <c r="H887" s="8"/>
    </row>
    <row r="888" spans="3:8" ht="14.5" x14ac:dyDescent="0.35">
      <c r="C888" s="8"/>
      <c r="H888" s="8"/>
    </row>
    <row r="889" spans="3:8" ht="14.5" x14ac:dyDescent="0.35">
      <c r="C889" s="8"/>
      <c r="H889" s="8"/>
    </row>
    <row r="890" spans="3:8" ht="14.5" x14ac:dyDescent="0.35">
      <c r="C890" s="8"/>
      <c r="H890" s="8"/>
    </row>
    <row r="891" spans="3:8" ht="14.5" x14ac:dyDescent="0.35">
      <c r="C891" s="8"/>
      <c r="H891" s="8"/>
    </row>
    <row r="892" spans="3:8" ht="14.5" x14ac:dyDescent="0.35">
      <c r="C892" s="8"/>
      <c r="H892" s="8"/>
    </row>
    <row r="893" spans="3:8" ht="14.5" x14ac:dyDescent="0.35">
      <c r="C893" s="8"/>
      <c r="H893" s="8"/>
    </row>
    <row r="894" spans="3:8" ht="14.5" x14ac:dyDescent="0.35">
      <c r="C894" s="8"/>
      <c r="H894" s="8"/>
    </row>
    <row r="895" spans="3:8" ht="14.5" x14ac:dyDescent="0.35">
      <c r="C895" s="8"/>
      <c r="H895" s="8"/>
    </row>
    <row r="896" spans="3:8" ht="14.5" x14ac:dyDescent="0.35">
      <c r="C896" s="8"/>
      <c r="H896" s="8"/>
    </row>
    <row r="897" spans="3:8" ht="14.5" x14ac:dyDescent="0.35">
      <c r="C897" s="8"/>
      <c r="H897" s="8"/>
    </row>
    <row r="898" spans="3:8" ht="14.5" x14ac:dyDescent="0.35">
      <c r="C898" s="8"/>
      <c r="H898" s="8"/>
    </row>
    <row r="899" spans="3:8" ht="14.5" x14ac:dyDescent="0.35">
      <c r="C899" s="8"/>
      <c r="H899" s="8"/>
    </row>
    <row r="900" spans="3:8" ht="14.5" x14ac:dyDescent="0.35">
      <c r="C900" s="8"/>
      <c r="H900" s="8"/>
    </row>
    <row r="901" spans="3:8" ht="14.5" x14ac:dyDescent="0.35">
      <c r="C901" s="8"/>
      <c r="H901" s="8"/>
    </row>
    <row r="902" spans="3:8" ht="14.5" x14ac:dyDescent="0.35">
      <c r="C902" s="8"/>
      <c r="H902" s="8"/>
    </row>
    <row r="903" spans="3:8" ht="14.5" x14ac:dyDescent="0.35">
      <c r="C903" s="8"/>
      <c r="H903" s="8"/>
    </row>
    <row r="904" spans="3:8" ht="14.5" x14ac:dyDescent="0.35">
      <c r="C904" s="8"/>
      <c r="H904" s="8"/>
    </row>
    <row r="905" spans="3:8" ht="14.5" x14ac:dyDescent="0.35">
      <c r="C905" s="8"/>
      <c r="H905" s="8"/>
    </row>
    <row r="906" spans="3:8" ht="14.5" x14ac:dyDescent="0.35">
      <c r="C906" s="8"/>
      <c r="H906" s="8"/>
    </row>
    <row r="907" spans="3:8" ht="14.5" x14ac:dyDescent="0.35">
      <c r="C907" s="8"/>
      <c r="H907" s="8"/>
    </row>
    <row r="908" spans="3:8" ht="14.5" x14ac:dyDescent="0.35">
      <c r="C908" s="8"/>
      <c r="H908" s="8"/>
    </row>
    <row r="909" spans="3:8" ht="14.5" x14ac:dyDescent="0.35">
      <c r="C909" s="8"/>
      <c r="H909" s="8"/>
    </row>
    <row r="910" spans="3:8" ht="14.5" x14ac:dyDescent="0.35">
      <c r="C910" s="8"/>
      <c r="H910" s="8"/>
    </row>
    <row r="911" spans="3:8" ht="14.5" x14ac:dyDescent="0.35">
      <c r="C911" s="8"/>
      <c r="H911" s="8"/>
    </row>
    <row r="912" spans="3:8" ht="14.5" x14ac:dyDescent="0.35">
      <c r="C912" s="8"/>
      <c r="H912" s="8"/>
    </row>
    <row r="913" spans="3:8" ht="14.5" x14ac:dyDescent="0.35">
      <c r="C913" s="8"/>
      <c r="H913" s="8"/>
    </row>
    <row r="914" spans="3:8" ht="14.5" x14ac:dyDescent="0.35">
      <c r="C914" s="8"/>
      <c r="H914" s="8"/>
    </row>
    <row r="915" spans="3:8" ht="14.5" x14ac:dyDescent="0.35">
      <c r="C915" s="8"/>
      <c r="H915" s="8"/>
    </row>
    <row r="916" spans="3:8" ht="14.5" x14ac:dyDescent="0.35">
      <c r="C916" s="8"/>
      <c r="H916" s="8"/>
    </row>
    <row r="917" spans="3:8" ht="14.5" x14ac:dyDescent="0.35">
      <c r="C917" s="8"/>
      <c r="H917" s="8"/>
    </row>
    <row r="918" spans="3:8" ht="14.5" x14ac:dyDescent="0.35">
      <c r="C918" s="8"/>
      <c r="H918" s="8"/>
    </row>
    <row r="919" spans="3:8" ht="14.5" x14ac:dyDescent="0.35">
      <c r="C919" s="8"/>
      <c r="H919" s="8"/>
    </row>
    <row r="920" spans="3:8" ht="14.5" x14ac:dyDescent="0.35">
      <c r="C920" s="8"/>
      <c r="H920" s="8"/>
    </row>
    <row r="921" spans="3:8" ht="14.5" x14ac:dyDescent="0.35">
      <c r="C921" s="8"/>
      <c r="H921" s="8"/>
    </row>
    <row r="922" spans="3:8" ht="14.5" x14ac:dyDescent="0.35">
      <c r="C922" s="8"/>
      <c r="H922" s="8"/>
    </row>
    <row r="923" spans="3:8" ht="14.5" x14ac:dyDescent="0.35">
      <c r="C923" s="8"/>
      <c r="H923" s="8"/>
    </row>
    <row r="924" spans="3:8" ht="14.5" x14ac:dyDescent="0.35">
      <c r="C924" s="8"/>
      <c r="H924" s="8"/>
    </row>
    <row r="925" spans="3:8" ht="14.5" x14ac:dyDescent="0.35">
      <c r="C925" s="8"/>
      <c r="H925" s="8"/>
    </row>
    <row r="926" spans="3:8" ht="14.5" x14ac:dyDescent="0.35">
      <c r="C926" s="8"/>
      <c r="H926" s="8"/>
    </row>
    <row r="927" spans="3:8" ht="14.5" x14ac:dyDescent="0.35">
      <c r="C927" s="8"/>
      <c r="H927" s="8"/>
    </row>
    <row r="928" spans="3:8" ht="14.5" x14ac:dyDescent="0.35">
      <c r="C928" s="8"/>
      <c r="H928" s="8"/>
    </row>
    <row r="929" spans="3:8" ht="14.5" x14ac:dyDescent="0.35">
      <c r="C929" s="8"/>
      <c r="H929" s="8"/>
    </row>
    <row r="930" spans="3:8" ht="14.5" x14ac:dyDescent="0.35">
      <c r="C930" s="8"/>
      <c r="H930" s="8"/>
    </row>
    <row r="931" spans="3:8" ht="14.5" x14ac:dyDescent="0.35">
      <c r="C931" s="8"/>
      <c r="H931" s="8"/>
    </row>
    <row r="932" spans="3:8" ht="14.5" x14ac:dyDescent="0.35">
      <c r="C932" s="8"/>
      <c r="H932" s="8"/>
    </row>
    <row r="933" spans="3:8" ht="14.5" x14ac:dyDescent="0.35">
      <c r="C933" s="8"/>
      <c r="H933" s="8"/>
    </row>
    <row r="934" spans="3:8" ht="14.5" x14ac:dyDescent="0.35">
      <c r="C934" s="8"/>
      <c r="H934" s="8"/>
    </row>
    <row r="935" spans="3:8" ht="14.5" x14ac:dyDescent="0.35">
      <c r="C935" s="8"/>
      <c r="H935" s="8"/>
    </row>
    <row r="936" spans="3:8" ht="14.5" x14ac:dyDescent="0.35">
      <c r="C936" s="8"/>
      <c r="H936" s="8"/>
    </row>
    <row r="937" spans="3:8" ht="14.5" x14ac:dyDescent="0.35">
      <c r="C937" s="8"/>
      <c r="H937" s="8"/>
    </row>
    <row r="938" spans="3:8" ht="14.5" x14ac:dyDescent="0.35">
      <c r="C938" s="8"/>
      <c r="H938" s="8"/>
    </row>
    <row r="939" spans="3:8" ht="14.5" x14ac:dyDescent="0.35">
      <c r="C939" s="8"/>
      <c r="H939" s="8"/>
    </row>
    <row r="940" spans="3:8" ht="14.5" x14ac:dyDescent="0.35">
      <c r="C940" s="8"/>
      <c r="H940" s="8"/>
    </row>
    <row r="941" spans="3:8" ht="14.5" x14ac:dyDescent="0.35">
      <c r="C941" s="8"/>
      <c r="H941" s="8"/>
    </row>
    <row r="942" spans="3:8" ht="14.5" x14ac:dyDescent="0.35">
      <c r="C942" s="8"/>
      <c r="H942" s="8"/>
    </row>
    <row r="943" spans="3:8" ht="14.5" x14ac:dyDescent="0.35">
      <c r="C943" s="8"/>
      <c r="H943" s="8"/>
    </row>
    <row r="944" spans="3:8" ht="14.5" x14ac:dyDescent="0.35">
      <c r="C944" s="8"/>
      <c r="H944" s="8"/>
    </row>
    <row r="945" spans="3:8" ht="14.5" x14ac:dyDescent="0.35">
      <c r="C945" s="8"/>
      <c r="H945" s="8"/>
    </row>
    <row r="946" spans="3:8" ht="14.5" x14ac:dyDescent="0.35">
      <c r="C946" s="8"/>
      <c r="H946" s="8"/>
    </row>
    <row r="947" spans="3:8" ht="14.5" x14ac:dyDescent="0.35">
      <c r="C947" s="8"/>
      <c r="H947" s="8"/>
    </row>
    <row r="948" spans="3:8" ht="14.5" x14ac:dyDescent="0.35">
      <c r="C948" s="8"/>
      <c r="H948" s="8"/>
    </row>
    <row r="949" spans="3:8" ht="14.5" x14ac:dyDescent="0.35">
      <c r="C949" s="8"/>
      <c r="H949" s="8"/>
    </row>
    <row r="950" spans="3:8" ht="14.5" x14ac:dyDescent="0.35">
      <c r="C950" s="8"/>
      <c r="H950" s="8"/>
    </row>
    <row r="951" spans="3:8" ht="14.5" x14ac:dyDescent="0.35">
      <c r="C951" s="8"/>
      <c r="H951" s="8"/>
    </row>
    <row r="952" spans="3:8" ht="14.5" x14ac:dyDescent="0.35">
      <c r="C952" s="8"/>
      <c r="H952" s="8"/>
    </row>
    <row r="953" spans="3:8" ht="14.5" x14ac:dyDescent="0.35">
      <c r="C953" s="8"/>
      <c r="H953" s="8"/>
    </row>
    <row r="954" spans="3:8" ht="14.5" x14ac:dyDescent="0.35">
      <c r="C954" s="8"/>
      <c r="H954" s="8"/>
    </row>
    <row r="955" spans="3:8" ht="14.5" x14ac:dyDescent="0.35">
      <c r="C955" s="8"/>
      <c r="H955" s="8"/>
    </row>
    <row r="956" spans="3:8" ht="14.5" x14ac:dyDescent="0.35">
      <c r="C956" s="8"/>
      <c r="H956" s="8"/>
    </row>
    <row r="957" spans="3:8" ht="14.5" x14ac:dyDescent="0.35">
      <c r="C957" s="8"/>
      <c r="H957" s="8"/>
    </row>
    <row r="958" spans="3:8" ht="14.5" x14ac:dyDescent="0.35">
      <c r="C958" s="8"/>
      <c r="H958" s="8"/>
    </row>
    <row r="959" spans="3:8" ht="14.5" x14ac:dyDescent="0.35">
      <c r="C959" s="8"/>
      <c r="H959" s="8"/>
    </row>
    <row r="960" spans="3:8" ht="14.5" x14ac:dyDescent="0.35">
      <c r="C960" s="8"/>
      <c r="H960" s="8"/>
    </row>
    <row r="961" spans="3:8" ht="14.5" x14ac:dyDescent="0.35">
      <c r="C961" s="8"/>
      <c r="H961" s="8"/>
    </row>
    <row r="962" spans="3:8" ht="14.5" x14ac:dyDescent="0.35">
      <c r="C962" s="8"/>
      <c r="H962" s="8"/>
    </row>
    <row r="963" spans="3:8" ht="14.5" x14ac:dyDescent="0.35">
      <c r="C963" s="8"/>
      <c r="H963" s="8"/>
    </row>
    <row r="964" spans="3:8" ht="14.5" x14ac:dyDescent="0.35">
      <c r="C964" s="8"/>
      <c r="H964" s="8"/>
    </row>
    <row r="965" spans="3:8" ht="14.5" x14ac:dyDescent="0.35">
      <c r="C965" s="8"/>
      <c r="H965" s="8"/>
    </row>
    <row r="966" spans="3:8" ht="14.5" x14ac:dyDescent="0.35">
      <c r="C966" s="8"/>
      <c r="H966" s="8"/>
    </row>
    <row r="967" spans="3:8" ht="14.5" x14ac:dyDescent="0.35">
      <c r="C967" s="8"/>
      <c r="H967" s="8"/>
    </row>
    <row r="968" spans="3:8" ht="14.5" x14ac:dyDescent="0.35">
      <c r="C968" s="8"/>
      <c r="H968" s="8"/>
    </row>
    <row r="969" spans="3:8" ht="14.5" x14ac:dyDescent="0.35">
      <c r="C969" s="8"/>
      <c r="H969" s="8"/>
    </row>
    <row r="970" spans="3:8" ht="14.5" x14ac:dyDescent="0.35">
      <c r="C970" s="8"/>
      <c r="H970" s="8"/>
    </row>
    <row r="971" spans="3:8" ht="14.5" x14ac:dyDescent="0.35">
      <c r="C971" s="8"/>
      <c r="H971" s="8"/>
    </row>
    <row r="972" spans="3:8" ht="14.5" x14ac:dyDescent="0.35">
      <c r="C972" s="8"/>
      <c r="H972" s="8"/>
    </row>
    <row r="973" spans="3:8" ht="14.5" x14ac:dyDescent="0.35">
      <c r="C973" s="8"/>
      <c r="H973" s="8"/>
    </row>
    <row r="974" spans="3:8" ht="14.5" x14ac:dyDescent="0.35">
      <c r="C974" s="8"/>
      <c r="H974" s="8"/>
    </row>
    <row r="975" spans="3:8" ht="14.5" x14ac:dyDescent="0.35">
      <c r="C975" s="8"/>
      <c r="H975" s="8"/>
    </row>
    <row r="976" spans="3:8" ht="14.5" x14ac:dyDescent="0.35">
      <c r="C976" s="8"/>
      <c r="H976" s="8"/>
    </row>
    <row r="977" spans="3:8" ht="14.5" x14ac:dyDescent="0.35">
      <c r="C977" s="8"/>
      <c r="H977" s="8"/>
    </row>
    <row r="978" spans="3:8" ht="14.5" x14ac:dyDescent="0.35">
      <c r="C978" s="8"/>
      <c r="H978" s="8"/>
    </row>
    <row r="979" spans="3:8" ht="14.5" x14ac:dyDescent="0.35">
      <c r="C979" s="8"/>
      <c r="H979" s="8"/>
    </row>
    <row r="980" spans="3:8" ht="14.5" x14ac:dyDescent="0.35">
      <c r="C980" s="8"/>
      <c r="H980" s="8"/>
    </row>
    <row r="981" spans="3:8" ht="14.5" x14ac:dyDescent="0.35">
      <c r="C981" s="8"/>
      <c r="H981" s="8"/>
    </row>
    <row r="982" spans="3:8" ht="14.5" x14ac:dyDescent="0.35">
      <c r="C982" s="8"/>
      <c r="H982" s="8"/>
    </row>
    <row r="983" spans="3:8" ht="14.5" x14ac:dyDescent="0.35">
      <c r="C983" s="8"/>
      <c r="H983" s="8"/>
    </row>
    <row r="984" spans="3:8" ht="14.5" x14ac:dyDescent="0.35">
      <c r="C984" s="8"/>
      <c r="H984" s="8"/>
    </row>
    <row r="985" spans="3:8" ht="14.5" x14ac:dyDescent="0.35">
      <c r="C985" s="8"/>
      <c r="H985" s="8"/>
    </row>
    <row r="986" spans="3:8" ht="14.5" x14ac:dyDescent="0.35">
      <c r="C986" s="8"/>
      <c r="H986" s="8"/>
    </row>
    <row r="987" spans="3:8" ht="14.5" x14ac:dyDescent="0.35">
      <c r="C987" s="8"/>
      <c r="H987" s="8"/>
    </row>
    <row r="988" spans="3:8" ht="14.5" x14ac:dyDescent="0.35">
      <c r="C988" s="8"/>
      <c r="H988" s="8"/>
    </row>
    <row r="989" spans="3:8" ht="14.5" x14ac:dyDescent="0.35">
      <c r="C989" s="8"/>
      <c r="H989" s="8"/>
    </row>
    <row r="990" spans="3:8" ht="14.5" x14ac:dyDescent="0.35">
      <c r="C990" s="8"/>
      <c r="H990" s="8"/>
    </row>
    <row r="991" spans="3:8" ht="14.5" x14ac:dyDescent="0.35">
      <c r="C991" s="8"/>
      <c r="H991" s="8"/>
    </row>
    <row r="992" spans="3:8" ht="14.5" x14ac:dyDescent="0.35">
      <c r="C992" s="8"/>
      <c r="H992" s="8"/>
    </row>
    <row r="993" spans="3:8" ht="14.5" x14ac:dyDescent="0.35">
      <c r="C993" s="8"/>
      <c r="H993" s="8"/>
    </row>
    <row r="994" spans="3:8" ht="14.5" x14ac:dyDescent="0.35">
      <c r="C994" s="8"/>
      <c r="H994" s="8"/>
    </row>
    <row r="995" spans="3:8" ht="14.5" x14ac:dyDescent="0.35">
      <c r="C995" s="8"/>
      <c r="H995" s="8"/>
    </row>
    <row r="996" spans="3:8" ht="14.5" x14ac:dyDescent="0.35">
      <c r="C996" s="8"/>
      <c r="H996" s="8"/>
    </row>
    <row r="997" spans="3:8" ht="14.5" x14ac:dyDescent="0.35">
      <c r="C997" s="8"/>
      <c r="H997" s="8"/>
    </row>
    <row r="998" spans="3:8" ht="14.5" x14ac:dyDescent="0.35">
      <c r="C998" s="8"/>
      <c r="H998" s="8"/>
    </row>
    <row r="999" spans="3:8" ht="14.5" x14ac:dyDescent="0.35">
      <c r="C999" s="8"/>
      <c r="H999" s="8"/>
    </row>
    <row r="1000" spans="3:8" ht="14.5" x14ac:dyDescent="0.35">
      <c r="C1000" s="8"/>
      <c r="H1000" s="8"/>
    </row>
    <row r="1001" spans="3:8" ht="14.5" x14ac:dyDescent="0.35">
      <c r="C1001" s="8"/>
      <c r="H1001" s="8"/>
    </row>
    <row r="1002" spans="3:8" ht="14.5" x14ac:dyDescent="0.35">
      <c r="C1002" s="8"/>
      <c r="H1002" s="8"/>
    </row>
    <row r="1003" spans="3:8" ht="14.5" x14ac:dyDescent="0.35">
      <c r="C1003" s="8"/>
      <c r="H1003" s="8"/>
    </row>
    <row r="1004" spans="3:8" ht="14.5" x14ac:dyDescent="0.35">
      <c r="C1004" s="8"/>
      <c r="H1004" s="8"/>
    </row>
    <row r="1005" spans="3:8" ht="14.5" x14ac:dyDescent="0.35">
      <c r="C1005" s="8"/>
      <c r="H1005" s="8"/>
    </row>
    <row r="1006" spans="3:8" ht="14.5" x14ac:dyDescent="0.35">
      <c r="C1006" s="8"/>
      <c r="H1006" s="8"/>
    </row>
    <row r="1007" spans="3:8" ht="14.5" x14ac:dyDescent="0.35">
      <c r="C1007" s="8"/>
      <c r="H1007" s="8"/>
    </row>
    <row r="1008" spans="3:8" ht="14.5" x14ac:dyDescent="0.35">
      <c r="C1008" s="8"/>
      <c r="H1008" s="8"/>
    </row>
    <row r="1009" spans="3:8" ht="14.5" x14ac:dyDescent="0.35">
      <c r="C1009" s="8"/>
      <c r="H1009" s="8"/>
    </row>
    <row r="1010" spans="3:8" ht="14.5" x14ac:dyDescent="0.35">
      <c r="C1010" s="8"/>
      <c r="H1010" s="8"/>
    </row>
    <row r="1011" spans="3:8" ht="14.5" x14ac:dyDescent="0.35">
      <c r="C1011" s="8"/>
      <c r="H1011" s="8"/>
    </row>
    <row r="1012" spans="3:8" ht="14.5" x14ac:dyDescent="0.35">
      <c r="C1012" s="8"/>
      <c r="H1012" s="8"/>
    </row>
    <row r="1013" spans="3:8" ht="14.5" x14ac:dyDescent="0.35">
      <c r="C1013" s="8"/>
      <c r="H1013" s="8"/>
    </row>
    <row r="1014" spans="3:8" ht="14.5" x14ac:dyDescent="0.35">
      <c r="C1014" s="8"/>
      <c r="H1014" s="8"/>
    </row>
    <row r="1015" spans="3:8" ht="14.5" x14ac:dyDescent="0.35">
      <c r="C1015" s="8"/>
      <c r="H1015" s="8"/>
    </row>
    <row r="1016" spans="3:8" ht="14.5" x14ac:dyDescent="0.35">
      <c r="C1016" s="8"/>
      <c r="H1016" s="8"/>
    </row>
    <row r="1017" spans="3:8" ht="14.5" x14ac:dyDescent="0.35">
      <c r="C1017" s="8"/>
      <c r="H1017" s="8"/>
    </row>
    <row r="1018" spans="3:8" ht="14.5" x14ac:dyDescent="0.35">
      <c r="C1018" s="8"/>
      <c r="H1018" s="8"/>
    </row>
    <row r="1019" spans="3:8" ht="14.5" x14ac:dyDescent="0.35">
      <c r="C1019" s="8"/>
      <c r="H1019" s="8"/>
    </row>
    <row r="1020" spans="3:8" ht="14.5" x14ac:dyDescent="0.35">
      <c r="C1020" s="8"/>
      <c r="H1020" s="8"/>
    </row>
    <row r="1021" spans="3:8" ht="14.5" x14ac:dyDescent="0.35">
      <c r="C1021" s="8"/>
      <c r="H1021" s="8"/>
    </row>
    <row r="1022" spans="3:8" ht="14.5" x14ac:dyDescent="0.35">
      <c r="C1022" s="8"/>
      <c r="H1022" s="8"/>
    </row>
    <row r="1023" spans="3:8" ht="14.5" x14ac:dyDescent="0.35">
      <c r="C1023" s="8"/>
      <c r="H1023" s="8"/>
    </row>
    <row r="1024" spans="3:8" ht="14.5" x14ac:dyDescent="0.35">
      <c r="C1024" s="8"/>
      <c r="H1024" s="8"/>
    </row>
    <row r="1025" spans="3:8" ht="14.5" x14ac:dyDescent="0.35">
      <c r="C1025" s="8"/>
      <c r="H1025" s="8"/>
    </row>
    <row r="1026" spans="3:8" ht="14.5" x14ac:dyDescent="0.35">
      <c r="C1026" s="8"/>
      <c r="H1026" s="8"/>
    </row>
    <row r="1027" spans="3:8" ht="14.5" x14ac:dyDescent="0.35">
      <c r="C1027" s="8"/>
      <c r="H1027" s="8"/>
    </row>
    <row r="1028" spans="3:8" ht="14.5" x14ac:dyDescent="0.35">
      <c r="C1028" s="8"/>
      <c r="H1028" s="8"/>
    </row>
    <row r="1029" spans="3:8" ht="14.5" x14ac:dyDescent="0.35">
      <c r="C1029" s="8"/>
      <c r="H1029" s="8"/>
    </row>
    <row r="1030" spans="3:8" ht="14.5" x14ac:dyDescent="0.35">
      <c r="C1030" s="8"/>
      <c r="H1030" s="8"/>
    </row>
    <row r="1031" spans="3:8" ht="14.5" x14ac:dyDescent="0.35">
      <c r="C1031" s="8"/>
      <c r="H1031" s="8"/>
    </row>
    <row r="1032" spans="3:8" ht="14.5" x14ac:dyDescent="0.35">
      <c r="C1032" s="8"/>
      <c r="H1032" s="8"/>
    </row>
    <row r="1033" spans="3:8" ht="14.5" x14ac:dyDescent="0.35">
      <c r="C1033" s="8"/>
      <c r="H1033" s="8"/>
    </row>
    <row r="1034" spans="3:8" ht="14.5" x14ac:dyDescent="0.35">
      <c r="C1034" s="8"/>
      <c r="H1034" s="8"/>
    </row>
    <row r="1035" spans="3:8" ht="14.5" x14ac:dyDescent="0.35">
      <c r="C1035" s="8"/>
      <c r="H1035" s="8"/>
    </row>
  </sheetData>
  <hyperlinks>
    <hyperlink ref="K6" r:id="rId1" display="https://datasheets.raspberrypi.com/pico/pico-datasheet.pdf" xr:uid="{97A9FFA7-FD06-4705-AB98-4FC87EE50F73}"/>
    <hyperlink ref="H19" r:id="rId2" xr:uid="{2ABECDB6-D804-4528-AD87-771C69C14433}"/>
    <hyperlink ref="H20" r:id="rId3" xr:uid="{3022E1DE-579D-49F6-A78A-305D03BB2824}"/>
    <hyperlink ref="H21" r:id="rId4" xr:uid="{717FEB5E-50E8-46D5-B869-6AF3E485072A}"/>
    <hyperlink ref="H22" r:id="rId5" xr:uid="{91415AA6-A286-457B-9F28-B6EFEB054BA2}"/>
    <hyperlink ref="H23" r:id="rId6" xr:uid="{AC6FB068-B84D-445C-9486-3FD7AE47CCC2}"/>
    <hyperlink ref="H24" r:id="rId7" xr:uid="{7B0BC28F-345B-4C31-B18D-546BCED2F90C}"/>
    <hyperlink ref="H25" r:id="rId8" xr:uid="{C769EAEA-844C-4E4E-B7A6-AFC26B19F4D3}"/>
    <hyperlink ref="H27" r:id="rId9" xr:uid="{4E35770E-6725-4D7F-BB02-44734482711A}"/>
    <hyperlink ref="H30" r:id="rId10" xr:uid="{22610191-AEA6-44E2-ABFE-282C6ABE53ED}"/>
    <hyperlink ref="H45" r:id="rId11" xr:uid="{6DFFB212-4706-4D30-A4B8-EE40592FB126}"/>
    <hyperlink ref="H47" r:id="rId12" xr:uid="{0C183DDF-F13E-4148-8100-125E18ADFBAD}"/>
    <hyperlink ref="H48" r:id="rId13" xr:uid="{93CB9AED-CF95-4F1E-950D-6BDC50399F05}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 b</dc:creator>
  <cp:lastModifiedBy>sz b</cp:lastModifiedBy>
  <dcterms:created xsi:type="dcterms:W3CDTF">2026-02-28T23:00:35Z</dcterms:created>
  <dcterms:modified xsi:type="dcterms:W3CDTF">2026-03-02T02:31:33Z</dcterms:modified>
</cp:coreProperties>
</file>