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zb75\Documents\Other_Proj\ArchitecturalCarbonModelingTool\ACT\act\data_sheet\"/>
    </mc:Choice>
  </mc:AlternateContent>
  <xr:revisionPtr revIDLastSave="0" documentId="8_{DF4A8CC1-68AE-4F36-BC9C-EE203AAC6485}" xr6:coauthVersionLast="47" xr6:coauthVersionMax="47" xr10:uidLastSave="{00000000-0000-0000-0000-000000000000}"/>
  <bookViews>
    <workbookView xWindow="-110" yWindow="-110" windowWidth="19420" windowHeight="11500" xr2:uid="{EFECAB25-8862-4039-872A-9D66B4D0B167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1" i="1" l="1"/>
  <c r="C61" i="1"/>
  <c r="B61" i="1"/>
  <c r="D60" i="1"/>
  <c r="C60" i="1"/>
  <c r="B60" i="1"/>
  <c r="N40" i="1" s="1"/>
  <c r="D59" i="1"/>
  <c r="C59" i="1"/>
  <c r="B59" i="1"/>
  <c r="H58" i="1"/>
  <c r="D58" i="1"/>
  <c r="C58" i="1"/>
  <c r="B58" i="1"/>
  <c r="I49" i="1"/>
  <c r="N49" i="1" s="1"/>
  <c r="I48" i="1"/>
  <c r="N48" i="1" s="1"/>
  <c r="I47" i="1"/>
  <c r="N47" i="1" s="1"/>
  <c r="I46" i="1"/>
  <c r="N46" i="1" s="1"/>
  <c r="I45" i="1"/>
  <c r="N45" i="1" s="1"/>
  <c r="H45" i="1"/>
  <c r="N44" i="1"/>
  <c r="N43" i="1"/>
  <c r="Z42" i="1"/>
  <c r="Y42" i="1"/>
  <c r="X42" i="1"/>
  <c r="N42" i="1"/>
  <c r="Z41" i="1"/>
  <c r="Y41" i="1"/>
  <c r="X41" i="1"/>
  <c r="N41" i="1"/>
  <c r="Z40" i="1"/>
  <c r="Y40" i="1"/>
  <c r="X40" i="1"/>
  <c r="Z39" i="1"/>
  <c r="Y39" i="1"/>
  <c r="X39" i="1"/>
  <c r="N39" i="1"/>
  <c r="N38" i="1"/>
  <c r="N37" i="1"/>
  <c r="N36" i="1"/>
  <c r="N35" i="1"/>
  <c r="N34" i="1"/>
  <c r="N33" i="1"/>
  <c r="N32" i="1"/>
  <c r="I31" i="1"/>
  <c r="N31" i="1" s="1"/>
  <c r="N30" i="1"/>
  <c r="N29" i="1"/>
  <c r="I28" i="1"/>
  <c r="N28" i="1" s="1"/>
  <c r="I27" i="1"/>
  <c r="N27" i="1" s="1"/>
  <c r="I26" i="1"/>
  <c r="N26" i="1" s="1"/>
  <c r="N25" i="1"/>
  <c r="I25" i="1"/>
  <c r="N24" i="1"/>
  <c r="I24" i="1"/>
  <c r="I23" i="1"/>
  <c r="N23" i="1" s="1"/>
  <c r="I22" i="1"/>
  <c r="N22" i="1" s="1"/>
  <c r="I21" i="1"/>
  <c r="N21" i="1" s="1"/>
  <c r="I20" i="1"/>
  <c r="N20" i="1" s="1"/>
  <c r="N19" i="1"/>
  <c r="N18" i="1"/>
  <c r="N17" i="1"/>
  <c r="N16" i="1"/>
  <c r="N15" i="1"/>
  <c r="N14" i="1"/>
  <c r="N13" i="1"/>
  <c r="N12" i="1"/>
  <c r="N11" i="1"/>
  <c r="N10" i="1"/>
  <c r="N9" i="1"/>
  <c r="N8" i="1"/>
  <c r="K7" i="1"/>
  <c r="N7" i="1" s="1"/>
  <c r="N6" i="1"/>
  <c r="N5" i="1"/>
  <c r="N4" i="1"/>
  <c r="N3" i="1"/>
  <c r="N54" i="1" l="1"/>
  <c r="O54" i="1" s="1"/>
  <c r="V26" i="1"/>
  <c r="O5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sz b</author>
    <author/>
  </authors>
  <commentList>
    <comment ref="E1" authorId="0" shapeId="0" xr:uid="{2CF546DC-1B0E-43C0-8420-A2055C61D58D}">
      <text>
        <r>
          <rPr>
            <b/>
            <sz val="9"/>
            <color indexed="81"/>
            <rFont val="Tahoma"/>
            <charset val="1"/>
          </rPr>
          <t>sz b:</t>
        </r>
        <r>
          <rPr>
            <sz val="9"/>
            <color indexed="81"/>
            <rFont val="Tahoma"/>
            <charset val="1"/>
          </rPr>
          <t xml:space="preserve">
use this category</t>
        </r>
      </text>
    </comment>
    <comment ref="D22" authorId="0" shapeId="0" xr:uid="{3B78C5C1-E542-4492-8CA5-60B9ECE69D0D}">
      <text>
        <r>
          <rPr>
            <b/>
            <sz val="9"/>
            <color indexed="81"/>
            <rFont val="Tahoma"/>
            <charset val="1"/>
          </rPr>
          <t>sz b:</t>
        </r>
        <r>
          <rPr>
            <sz val="9"/>
            <color indexed="81"/>
            <rFont val="Tahoma"/>
            <charset val="1"/>
          </rPr>
          <t xml:space="preserve">
active components </t>
        </r>
      </text>
    </comment>
    <comment ref="N22" authorId="0" shapeId="0" xr:uid="{8F0D1E1F-21FD-470B-B88B-59A95C2ADD80}">
      <text>
        <r>
          <rPr>
            <b/>
            <sz val="9"/>
            <color indexed="81"/>
            <rFont val="Tahoma"/>
            <charset val="1"/>
          </rPr>
          <t>sz b:</t>
        </r>
        <r>
          <rPr>
            <sz val="9"/>
            <color indexed="81"/>
            <rFont val="Tahoma"/>
            <charset val="1"/>
          </rPr>
          <t xml:space="preserve">
changed from BA6 to BA5</t>
        </r>
      </text>
    </comment>
    <comment ref="D24" authorId="0" shapeId="0" xr:uid="{48B04C56-B8E6-4E5B-9D59-0017FCDDD9A9}">
      <text>
        <r>
          <rPr>
            <b/>
            <sz val="9"/>
            <color indexed="81"/>
            <rFont val="Tahoma"/>
            <charset val="1"/>
          </rPr>
          <t>sz b:</t>
        </r>
        <r>
          <rPr>
            <sz val="9"/>
            <color indexed="81"/>
            <rFont val="Tahoma"/>
            <charset val="1"/>
          </rPr>
          <t xml:space="preserve">
BA5</t>
        </r>
      </text>
    </comment>
    <comment ref="D31" authorId="0" shapeId="0" xr:uid="{0B6055E4-86F5-4CB2-9C62-A55269389221}">
      <text>
        <r>
          <rPr>
            <b/>
            <sz val="9"/>
            <color indexed="81"/>
            <rFont val="Tahoma"/>
            <charset val="1"/>
          </rPr>
          <t>sz b:</t>
        </r>
        <r>
          <rPr>
            <sz val="9"/>
            <color indexed="81"/>
            <rFont val="Tahoma"/>
            <charset val="1"/>
          </rPr>
          <t xml:space="preserve">
use active model.py for calculation</t>
        </r>
      </text>
    </comment>
    <comment ref="D45" authorId="0" shapeId="0" xr:uid="{F2FBE95E-80D0-4C93-A4EF-09B73F86138A}">
      <text>
        <r>
          <rPr>
            <b/>
            <sz val="9"/>
            <color indexed="81"/>
            <rFont val="Tahoma"/>
            <charset val="1"/>
          </rPr>
          <t>sz b:</t>
        </r>
        <r>
          <rPr>
            <sz val="9"/>
            <color indexed="81"/>
            <rFont val="Tahoma"/>
            <charset val="1"/>
          </rPr>
          <t xml:space="preserve">
from metal sheet</t>
        </r>
      </text>
    </comment>
    <comment ref="H45" authorId="1" shapeId="0" xr:uid="{FA431A1A-3B75-425C-9E1A-25989711BE0F}">
      <text>
        <r>
          <rPr>
            <sz val="10"/>
            <color rgb="FF000000"/>
            <rFont val="Aptos Narrow"/>
            <scheme val="minor"/>
          </rPr>
          <t xml:space="preserve">volume, to cm^3, x tins density, grams to ounces 
</t>
        </r>
      </text>
    </comment>
  </commentList>
</comments>
</file>

<file path=xl/sharedStrings.xml><?xml version="1.0" encoding="utf-8"?>
<sst xmlns="http://schemas.openxmlformats.org/spreadsheetml/2006/main" count="301" uniqueCount="215">
  <si>
    <t xml:space="preserve"> </t>
  </si>
  <si>
    <t>Quantity</t>
  </si>
  <si>
    <t xml:space="preserve">Value </t>
  </si>
  <si>
    <t>Component Category</t>
  </si>
  <si>
    <t>RPi Category</t>
  </si>
  <si>
    <t>Component Description</t>
  </si>
  <si>
    <t xml:space="preserve">Packaging </t>
  </si>
  <si>
    <t xml:space="preserve">Weight (oz) </t>
  </si>
  <si>
    <t>Weight (kg)</t>
  </si>
  <si>
    <t>Part Number</t>
  </si>
  <si>
    <t>Area (sq mm)</t>
  </si>
  <si>
    <t>Layers</t>
  </si>
  <si>
    <t>Thickness (mm)</t>
  </si>
  <si>
    <t>Embodied Carbon (kg of CO2e)</t>
  </si>
  <si>
    <t>Data We Have Specific Emissions Information For</t>
  </si>
  <si>
    <t xml:space="preserve">Data We Have General Emissions Information For </t>
  </si>
  <si>
    <t>U1</t>
  </si>
  <si>
    <t>RP2040</t>
  </si>
  <si>
    <t>ICs</t>
  </si>
  <si>
    <t>Processor</t>
  </si>
  <si>
    <t>RP2040 - RP2B1MicroController</t>
  </si>
  <si>
    <t>RP2B1</t>
  </si>
  <si>
    <t>U2</t>
  </si>
  <si>
    <t>RT6154AGQW</t>
  </si>
  <si>
    <t>Integrated Circuits</t>
  </si>
  <si>
    <t xml:space="preserve">Integrated Circuits Hardware </t>
  </si>
  <si>
    <t>Buck bosst switchmode PSU</t>
  </si>
  <si>
    <t>U3</t>
  </si>
  <si>
    <t>W25Q16JVUXIQ</t>
  </si>
  <si>
    <t xml:space="preserve">Flash Memory Hardware </t>
  </si>
  <si>
    <t>Serial NOR Flash, QSPI, 16MBit, 8-pin USON 2x3mm 133MHz</t>
  </si>
  <si>
    <t>U19</t>
  </si>
  <si>
    <t>CYW43439KUBG</t>
  </si>
  <si>
    <t>BT WIFI FM Combo</t>
  </si>
  <si>
    <t>PCB</t>
  </si>
  <si>
    <t>Epoxy Glass Fabric Laminate Printed Wiring Board</t>
  </si>
  <si>
    <t>C1,C2,C21</t>
  </si>
  <si>
    <t>47u</t>
  </si>
  <si>
    <t>Capacitor</t>
  </si>
  <si>
    <t xml:space="preserve">Ceramic Capacitors Hardware </t>
  </si>
  <si>
    <t>Capacitor, MLCC, 47u, M2012, 6.3V, 20%, X5R</t>
  </si>
  <si>
    <t>GRM21BR60J476ME01L</t>
  </si>
  <si>
    <t>C4,C5,C6,C7,C8,C9,C10,C11,C15,C20,C251,C255,C256</t>
  </si>
  <si>
    <t>100n</t>
  </si>
  <si>
    <t>Capacitor, MLCC, 100n, M0603, 6.3V, 10%, X5R</t>
  </si>
  <si>
    <t>GRM033R60J104KE19D</t>
  </si>
  <si>
    <t>C12,C13,C14,C18,C246,C248</t>
  </si>
  <si>
    <t>2.2u</t>
  </si>
  <si>
    <t>Capacitor, MLCC, 2u2, M1005, 6.3V, 20%, X5R</t>
  </si>
  <si>
    <t>GRM155R60J225ME01D</t>
  </si>
  <si>
    <t>C16,C17</t>
  </si>
  <si>
    <t>15p</t>
  </si>
  <si>
    <t>Capacitor, MLCC, 15p, M0603, 25V, 5%, C0G</t>
  </si>
  <si>
    <t>GRM0335C1E150JA01D</t>
  </si>
  <si>
    <t>C240,C241,C243</t>
  </si>
  <si>
    <t>4.7u</t>
  </si>
  <si>
    <t>CAP, CHIP, 1005, 4.7u, 20%, 6.3V, X5R</t>
  </si>
  <si>
    <t>GRM155R60J475ME47J</t>
  </si>
  <si>
    <t>C242,C244,C245,C252</t>
  </si>
  <si>
    <t>1u</t>
  </si>
  <si>
    <t>Capacitor, MLCC, 1u, M0603, 6.3V, 20%, X5R</t>
  </si>
  <si>
    <t>GRM033R60J105ME11D</t>
  </si>
  <si>
    <t>C247,C272</t>
  </si>
  <si>
    <t>NF</t>
  </si>
  <si>
    <t>CAP, CHIP, 0603, NO FIT</t>
  </si>
  <si>
    <t>C249,C250</t>
  </si>
  <si>
    <t>10p</t>
  </si>
  <si>
    <t>CAP, CHIP, 0603, 10p, 5%, 25V</t>
  </si>
  <si>
    <t>GRM0335C1E100JA01D</t>
  </si>
  <si>
    <t>C257,C258</t>
  </si>
  <si>
    <t>18p</t>
  </si>
  <si>
    <t>CAP, CHIP, 0603, 18p, 5%, 25V</t>
  </si>
  <si>
    <t>GRM0335C1E180JA01D</t>
  </si>
  <si>
    <t>C260,C271</t>
  </si>
  <si>
    <t>0.2pF</t>
  </si>
  <si>
    <t>CAP, CHIP, 1005, 0.2pF, 50V, C0G, 0.05pF</t>
  </si>
  <si>
    <t>GJM1555C1HR20WB01D</t>
  </si>
  <si>
    <t>C261</t>
  </si>
  <si>
    <t>0.36pF</t>
  </si>
  <si>
    <t>CAP, CHIP, 1005, 0.36pF, 50V, C0G, 0.05pF</t>
  </si>
  <si>
    <t>GJM1555C1HR36WB01D</t>
  </si>
  <si>
    <t>C262</t>
  </si>
  <si>
    <t>0.3pF</t>
  </si>
  <si>
    <t>CAP, CHIP, 1005, 0.3pF, 50V, C0G, 0.05pF</t>
  </si>
  <si>
    <t>GJM1555C1HR30WB01D</t>
  </si>
  <si>
    <t>D1</t>
  </si>
  <si>
    <t>MBR120VLSFT1G</t>
  </si>
  <si>
    <t xml:space="preserve">Diode </t>
  </si>
  <si>
    <t xml:space="preserve">Diode Hardware </t>
  </si>
  <si>
    <t>Diode, Schottky, 20V, 340mV@1A, 1A avg, SOD-123FL</t>
  </si>
  <si>
    <t>D2</t>
  </si>
  <si>
    <t>Green</t>
  </si>
  <si>
    <t>LED, SMT, Green, M1608</t>
  </si>
  <si>
    <t xml:space="preserve">150060VS83000 </t>
  </si>
  <si>
    <t>FB8</t>
  </si>
  <si>
    <t>600@100MHz</t>
  </si>
  <si>
    <t xml:space="preserve">Ferite Bead </t>
  </si>
  <si>
    <t>Ferrite Beads</t>
  </si>
  <si>
    <t>BEAD, CHIP, 1608, 600@100MHz, 380mR, 500mA</t>
  </si>
  <si>
    <t>BLM18AG601SN1</t>
  </si>
  <si>
    <t>FB9</t>
  </si>
  <si>
    <t>BEAD, CHIP, 0603, 600@100MHz, 1.5R, 100mA</t>
  </si>
  <si>
    <t>BLM03AG601SN1D</t>
  </si>
  <si>
    <t>FL1</t>
  </si>
  <si>
    <t>LFB212G45CG7D227</t>
  </si>
  <si>
    <t xml:space="preserve">active component(Signal Conditioning) </t>
  </si>
  <si>
    <t xml:space="preserve">Interface I/O Expander Interface </t>
  </si>
  <si>
    <t>2.4GHz Filter</t>
  </si>
  <si>
    <r>
      <rPr>
        <sz val="11"/>
        <rFont val="Calibri"/>
      </rPr>
      <t xml:space="preserve">LFB212G45CG7D227/ </t>
    </r>
    <r>
      <rPr>
        <u/>
        <sz val="11"/>
        <color rgb="FF1155CC"/>
        <rFont val="Calibri"/>
      </rPr>
      <t>DPX201990DT-4051A2</t>
    </r>
  </si>
  <si>
    <t>J0</t>
  </si>
  <si>
    <t>CON_PICO_40W-notfitted</t>
  </si>
  <si>
    <t xml:space="preserve">Connector Hardware </t>
  </si>
  <si>
    <t>PCB 40 way connector footprint</t>
  </si>
  <si>
    <t>TSW-120-07-L-D</t>
  </si>
  <si>
    <t>J1</t>
  </si>
  <si>
    <t>690-005-298-486</t>
  </si>
  <si>
    <t xml:space="preserve">Connector </t>
  </si>
  <si>
    <t>Socket, uUSB, B, RA, PTH/SMT</t>
  </si>
  <si>
    <t>J2</t>
  </si>
  <si>
    <t>CON_PICO_3W-notfitted</t>
  </si>
  <si>
    <t>3way 0.1" connector</t>
  </si>
  <si>
    <t>L1</t>
  </si>
  <si>
    <t xml:space="preserve">Inductor </t>
  </si>
  <si>
    <t xml:space="preserve">Inductor Hardware </t>
  </si>
  <si>
    <t>Inductor, SMT, 2520, 1u, IRMS 3.5A, ISAT=3.9A, DCR=0.102R</t>
  </si>
  <si>
    <t>SRN2512-1R0M</t>
  </si>
  <si>
    <t>L8</t>
  </si>
  <si>
    <t>INDUCTOR, CHIP, 1608, 2.2u,  250mA, 250mR, 20%</t>
  </si>
  <si>
    <t>LQM18PN2R2MGH</t>
  </si>
  <si>
    <t>L9</t>
  </si>
  <si>
    <t>4.7n</t>
  </si>
  <si>
    <t>INDUCTOR, CHIP, 0603, 4.7n,  280mA, 450mR, 3%</t>
  </si>
  <si>
    <t>LQP03HQ4n7H02D</t>
  </si>
  <si>
    <t>Q1</t>
  </si>
  <si>
    <t>DMG1012T</t>
  </si>
  <si>
    <t xml:space="preserve">Semiconductor Hardware </t>
  </si>
  <si>
    <t>Mosfet, N, SOT523, Vt=1V, Vgs=6V, Vds=20V, 450mA, 280mW</t>
  </si>
  <si>
    <t>R1,R6,R10,R88</t>
  </si>
  <si>
    <t>10K</t>
  </si>
  <si>
    <t xml:space="preserve">Resistor </t>
  </si>
  <si>
    <t>RES, CHIP, 0603, 10K, 1%, 0.05W</t>
  </si>
  <si>
    <t>R2,R8,R20</t>
  </si>
  <si>
    <t>100K</t>
  </si>
  <si>
    <t>Resistor, Chip, 100K, M0603, 50mW, 1%</t>
  </si>
  <si>
    <t>RK73H1HTTCM1003F</t>
  </si>
  <si>
    <t>R3</t>
  </si>
  <si>
    <t>470R</t>
  </si>
  <si>
    <t>Resistor, Chip, 470R, M0603, 50mW, 1%</t>
  </si>
  <si>
    <t>R5</t>
  </si>
  <si>
    <t>20K</t>
  </si>
  <si>
    <t>Resistor, Chip, 20K, M0603, 50mW, 1%</t>
  </si>
  <si>
    <t>R7</t>
  </si>
  <si>
    <t>200R</t>
  </si>
  <si>
    <t>Resistor, Chip, 200R, M1608, 100mW, 1%</t>
  </si>
  <si>
    <t>RC0603FR-07200RL</t>
  </si>
  <si>
    <t>R9</t>
  </si>
  <si>
    <t>1R</t>
  </si>
  <si>
    <t>Resistor, Chip, 1R, M1005, 63mW, 1%</t>
  </si>
  <si>
    <t>RC0402FR-071RL</t>
  </si>
  <si>
    <t>R11,R14</t>
  </si>
  <si>
    <t>1K</t>
  </si>
  <si>
    <t>Resistor, Chip, 1K, M0603, 50mW, 1%</t>
  </si>
  <si>
    <t>R12,R13</t>
  </si>
  <si>
    <t>27R</t>
  </si>
  <si>
    <t>Resistor, Chip, 27R, M0603, 50mW, 1%</t>
  </si>
  <si>
    <t>RC0201FR-0727RL</t>
  </si>
  <si>
    <t>0201</t>
  </si>
  <si>
    <t>R21</t>
  </si>
  <si>
    <t>560K</t>
  </si>
  <si>
    <t>Resistor, Chip, 560K, M0603, 50mW, 1%</t>
  </si>
  <si>
    <t>RK73H1HTTCM5603F</t>
  </si>
  <si>
    <t>0402</t>
  </si>
  <si>
    <t>R80</t>
  </si>
  <si>
    <t>22R</t>
  </si>
  <si>
    <t>RES, CHIP, 0603, 22R, 1%, 0.05W</t>
  </si>
  <si>
    <t>RK73H1HTTC22R0F</t>
  </si>
  <si>
    <t>0603</t>
  </si>
  <si>
    <t>R81</t>
  </si>
  <si>
    <t>220R</t>
  </si>
  <si>
    <t>RES, CHIP, 0603, 220R, 1%, 0.05W</t>
  </si>
  <si>
    <t>MCR006YLPF2200</t>
  </si>
  <si>
    <t>0805</t>
  </si>
  <si>
    <t>R86</t>
  </si>
  <si>
    <t>0R</t>
  </si>
  <si>
    <t>RES, CHIP, 0603, 0R, 1%, 0.05W</t>
  </si>
  <si>
    <t>RK73Z1HTTCM</t>
  </si>
  <si>
    <t>R87</t>
  </si>
  <si>
    <t>SH1</t>
  </si>
  <si>
    <t>SHJJ-031306</t>
  </si>
  <si>
    <t xml:space="preserve">metals </t>
  </si>
  <si>
    <t xml:space="preserve">Shield Can Interface </t>
  </si>
  <si>
    <t>WiFi/BT Shield Can 12.0x10.0x1.7mm SPTE Tin 0.2mm</t>
  </si>
  <si>
    <t>SW1</t>
  </si>
  <si>
    <t>TP-1221U-K9K5325</t>
  </si>
  <si>
    <t xml:space="preserve">Switches </t>
  </si>
  <si>
    <t>Tact pushbutton, N.O., 4.5x3.4x2.5mm</t>
  </si>
  <si>
    <r>
      <rPr>
        <sz val="11"/>
        <rFont val="Calibri"/>
      </rPr>
      <t xml:space="preserve">TP-1221U-K9K5325/ </t>
    </r>
    <r>
      <rPr>
        <u/>
        <sz val="11"/>
        <color rgb="FF1155CC"/>
        <rFont val="Calibri"/>
      </rPr>
      <t>FSMMSH</t>
    </r>
  </si>
  <si>
    <t>TP1,TP2,TP3,TP4,TP5,TP6</t>
  </si>
  <si>
    <t>SQ1P5MM</t>
  </si>
  <si>
    <t>Test point, SMT, square with rounded corners, 1.5mm</t>
  </si>
  <si>
    <t>TP_SMT_SQUARERC_1P5MM</t>
  </si>
  <si>
    <t>X1</t>
  </si>
  <si>
    <t>12MHz</t>
  </si>
  <si>
    <t xml:space="preserve">Resonator Hardware </t>
  </si>
  <si>
    <t>Xtal, SMT, 3.2x2.5mm, 30ppm, 50R, Fundamental, 10p load, 12MHz</t>
  </si>
  <si>
    <r>
      <rPr>
        <sz val="11"/>
        <rFont val="Calibri"/>
      </rPr>
      <t xml:space="preserve">X12M000000S096/ </t>
    </r>
    <r>
      <rPr>
        <u/>
        <sz val="11"/>
        <color rgb="FF1155CC"/>
        <rFont val="Calibri"/>
      </rPr>
      <t>SM10T-18-12.0M-30G1LK</t>
    </r>
  </si>
  <si>
    <t>X2</t>
  </si>
  <si>
    <t>37.4MHz</t>
  </si>
  <si>
    <t>XTAL, SMT, 37.4MHz, 50R, 1.6x1.2mm</t>
  </si>
  <si>
    <r>
      <rPr>
        <sz val="11"/>
        <rFont val="Calibri"/>
      </rPr>
      <t xml:space="preserve">X37M400000S002/ </t>
    </r>
    <r>
      <rPr>
        <u/>
        <sz val="11"/>
        <color rgb="FF1155CC"/>
        <rFont val="Calibri"/>
      </rPr>
      <t>FA-118T 27.1200MD50Z-K3</t>
    </r>
  </si>
  <si>
    <t xml:space="preserve">              </t>
  </si>
  <si>
    <t xml:space="preserve">Package </t>
  </si>
  <si>
    <t>Resistor</t>
  </si>
  <si>
    <t>Inductor</t>
  </si>
  <si>
    <t>kg of CO2e/ square mm of PCB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</si>
</sst>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#,##0.000"/>
  </numFmts>
  <fonts count="23">
    <font>
      <sz val="11"/>
      <color theme="1"/>
      <name val="Aptos Narrow"/>
      <family val="2"/>
      <scheme val="minor"/>
    </font>
    <font>
      <b/>
      <u/>
      <sz val="12"/>
      <color rgb="FF1155CC"/>
      <name val="Open Sans"/>
    </font>
    <font>
      <b/>
      <sz val="12"/>
      <color rgb="FF222222"/>
      <name val="Open Sans"/>
    </font>
    <font>
      <b/>
      <sz val="12"/>
      <color theme="1"/>
      <name val="Aptos Narrow"/>
      <scheme val="minor"/>
    </font>
    <font>
      <b/>
      <sz val="12"/>
      <color theme="1"/>
      <name val="Arial"/>
    </font>
    <font>
      <sz val="10"/>
      <color theme="1"/>
      <name val="Arial"/>
    </font>
    <font>
      <sz val="12"/>
      <color theme="1"/>
      <name val="Arial"/>
    </font>
    <font>
      <sz val="10"/>
      <color theme="1"/>
      <name val="Aptos Narrow"/>
      <scheme val="minor"/>
    </font>
    <font>
      <sz val="10"/>
      <color rgb="FF333333"/>
      <name val="Arial"/>
    </font>
    <font>
      <sz val="11"/>
      <color theme="1"/>
      <name val="Calibri"/>
    </font>
    <font>
      <u/>
      <sz val="10"/>
      <color rgb="FF1155CC"/>
      <name val="Arial"/>
    </font>
    <font>
      <u/>
      <sz val="12"/>
      <color rgb="FF1155CC"/>
      <name val="Roboto"/>
    </font>
    <font>
      <u/>
      <sz val="10"/>
      <color rgb="FF0000FF"/>
      <name val="Arial"/>
    </font>
    <font>
      <sz val="12"/>
      <color rgb="FF212529"/>
      <name val="Arial"/>
    </font>
    <font>
      <u/>
      <sz val="11"/>
      <color rgb="FF0000FF"/>
      <name val="Calibri"/>
    </font>
    <font>
      <sz val="11"/>
      <name val="Calibri"/>
    </font>
    <font>
      <u/>
      <sz val="11"/>
      <color rgb="FF1155CC"/>
      <name val="Calibri"/>
    </font>
    <font>
      <sz val="10"/>
      <color rgb="FF161616"/>
      <name val="&quot;Apercu Avnet&quot;"/>
    </font>
    <font>
      <u/>
      <sz val="12"/>
      <color rgb="FF0000FF"/>
      <name val="Arial"/>
    </font>
    <font>
      <u/>
      <sz val="11"/>
      <color rgb="FF1155CC"/>
      <name val="Arial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10"/>
      <color rgb="FF00000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0" xfId="0" applyFont="1" applyFill="1" applyAlignment="1">
      <alignment wrapText="1"/>
    </xf>
    <xf numFmtId="0" fontId="2" fillId="2" borderId="0" xfId="0" applyFont="1" applyFill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11" fontId="4" fillId="3" borderId="0" xfId="0" applyNumberFormat="1" applyFont="1" applyFill="1" applyAlignment="1">
      <alignment wrapText="1"/>
    </xf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>
      <alignment wrapText="1"/>
    </xf>
    <xf numFmtId="0" fontId="8" fillId="2" borderId="0" xfId="0" applyFont="1" applyFill="1"/>
    <xf numFmtId="11" fontId="7" fillId="3" borderId="0" xfId="0" applyNumberFormat="1" applyFont="1" applyFill="1"/>
    <xf numFmtId="0" fontId="6" fillId="0" borderId="0" xfId="0" applyFont="1" applyAlignment="1">
      <alignment horizontal="right"/>
    </xf>
    <xf numFmtId="0" fontId="9" fillId="4" borderId="0" xfId="0" applyFont="1" applyFill="1"/>
    <xf numFmtId="0" fontId="9" fillId="0" borderId="0" xfId="0" applyFont="1" applyAlignment="1">
      <alignment horizontal="right"/>
    </xf>
    <xf numFmtId="0" fontId="9" fillId="0" borderId="0" xfId="0" applyFont="1"/>
    <xf numFmtId="0" fontId="9" fillId="0" borderId="0" xfId="0" applyFont="1" applyAlignment="1">
      <alignment wrapText="1"/>
    </xf>
    <xf numFmtId="0" fontId="10" fillId="2" borderId="0" xfId="0" applyFont="1" applyFill="1" applyAlignment="1">
      <alignment horizontal="right"/>
    </xf>
    <xf numFmtId="0" fontId="11" fillId="2" borderId="0" xfId="0" applyFont="1" applyFill="1"/>
    <xf numFmtId="0" fontId="7" fillId="4" borderId="0" xfId="0" applyFont="1" applyFill="1" applyAlignment="1">
      <alignment horizontal="left" wrapText="1"/>
    </xf>
    <xf numFmtId="0" fontId="8" fillId="2" borderId="0" xfId="0" applyFont="1" applyFill="1" applyAlignment="1">
      <alignment wrapText="1"/>
    </xf>
    <xf numFmtId="0" fontId="12" fillId="0" borderId="0" xfId="0" applyFont="1"/>
    <xf numFmtId="164" fontId="7" fillId="3" borderId="0" xfId="0" applyNumberFormat="1" applyFont="1" applyFill="1"/>
    <xf numFmtId="0" fontId="5" fillId="2" borderId="0" xfId="0" applyFont="1" applyFill="1"/>
    <xf numFmtId="0" fontId="8" fillId="0" borderId="0" xfId="0" applyFont="1" applyAlignment="1">
      <alignment wrapText="1"/>
    </xf>
    <xf numFmtId="0" fontId="13" fillId="2" borderId="0" xfId="0" applyFont="1" applyFill="1" applyAlignment="1">
      <alignment horizontal="left"/>
    </xf>
    <xf numFmtId="0" fontId="14" fillId="0" borderId="0" xfId="0" applyFont="1" applyAlignment="1">
      <alignment wrapText="1"/>
    </xf>
    <xf numFmtId="0" fontId="7" fillId="4" borderId="0" xfId="0" applyFont="1" applyFill="1"/>
    <xf numFmtId="4" fontId="7" fillId="0" borderId="0" xfId="0" applyNumberFormat="1" applyFont="1"/>
    <xf numFmtId="0" fontId="5" fillId="0" borderId="0" xfId="0" applyFont="1" applyAlignment="1">
      <alignment horizontal="left"/>
    </xf>
    <xf numFmtId="0" fontId="9" fillId="4" borderId="0" xfId="0" applyFont="1" applyFill="1" applyAlignment="1">
      <alignment horizontal="right"/>
    </xf>
    <xf numFmtId="0" fontId="17" fillId="2" borderId="0" xfId="0" applyFont="1" applyFill="1" applyAlignment="1">
      <alignment wrapText="1"/>
    </xf>
    <xf numFmtId="0" fontId="10" fillId="0" borderId="0" xfId="0" applyFont="1"/>
    <xf numFmtId="0" fontId="10" fillId="0" borderId="0" xfId="0" applyFont="1" applyAlignment="1">
      <alignment wrapText="1"/>
    </xf>
    <xf numFmtId="0" fontId="8" fillId="2" borderId="0" xfId="0" applyFont="1" applyFill="1" applyAlignment="1">
      <alignment horizontal="right"/>
    </xf>
    <xf numFmtId="0" fontId="10" fillId="2" borderId="0" xfId="0" applyFont="1" applyFill="1"/>
    <xf numFmtId="0" fontId="8" fillId="0" borderId="0" xfId="0" applyFont="1" applyAlignment="1">
      <alignment horizontal="right"/>
    </xf>
    <xf numFmtId="0" fontId="6" fillId="0" borderId="0" xfId="0" quotePrefix="1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wrapText="1"/>
    </xf>
    <xf numFmtId="0" fontId="18" fillId="0" borderId="0" xfId="0" applyFont="1" applyAlignment="1">
      <alignment horizontal="left"/>
    </xf>
    <xf numFmtId="0" fontId="7" fillId="3" borderId="0" xfId="0" applyFont="1" applyFill="1"/>
    <xf numFmtId="0" fontId="7" fillId="3" borderId="0" xfId="0" applyFont="1" applyFill="1" applyAlignment="1">
      <alignment wrapText="1"/>
    </xf>
    <xf numFmtId="165" fontId="7" fillId="3" borderId="0" xfId="0" applyNumberFormat="1" applyFont="1" applyFill="1"/>
    <xf numFmtId="0" fontId="19" fillId="0" borderId="0" xfId="0" applyFont="1"/>
    <xf numFmtId="0" fontId="19" fillId="0" borderId="0" xfId="0" applyFont="1" applyAlignment="1">
      <alignment wrapText="1"/>
    </xf>
    <xf numFmtId="10" fontId="7" fillId="0" borderId="0" xfId="0" applyNumberFormat="1" applyFont="1"/>
    <xf numFmtId="0" fontId="19" fillId="2" borderId="0" xfId="0" applyFont="1" applyFill="1"/>
    <xf numFmtId="0" fontId="19" fillId="2" borderId="0" xfId="0" applyFont="1" applyFill="1" applyAlignment="1">
      <alignment wrapText="1"/>
    </xf>
    <xf numFmtId="0" fontId="11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Pico W Official Semiconductor Breakdown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4285F4"/>
              </a:solidFill>
            </c:spPr>
            <c:extLst>
              <c:ext xmlns:c16="http://schemas.microsoft.com/office/drawing/2014/chart" uri="{C3380CC4-5D6E-409C-BE32-E72D297353CC}">
                <c16:uniqueId val="{00000001-7D8C-4D4E-8DA7-CFB60D501DC5}"/>
              </c:ext>
            </c:extLst>
          </c:dPt>
          <c:dPt>
            <c:idx val="1"/>
            <c:bubble3D val="0"/>
            <c:spPr>
              <a:solidFill>
                <a:srgbClr val="EA4335"/>
              </a:solidFill>
            </c:spPr>
            <c:extLst>
              <c:ext xmlns:c16="http://schemas.microsoft.com/office/drawing/2014/chart" uri="{C3380CC4-5D6E-409C-BE32-E72D297353CC}">
                <c16:uniqueId val="{00000003-7D8C-4D4E-8DA7-CFB60D501DC5}"/>
              </c:ext>
            </c:extLst>
          </c:dPt>
          <c:dPt>
            <c:idx val="2"/>
            <c:bubble3D val="0"/>
            <c:spPr>
              <a:solidFill>
                <a:srgbClr val="FBBC04"/>
              </a:solidFill>
            </c:spPr>
            <c:extLst>
              <c:ext xmlns:c16="http://schemas.microsoft.com/office/drawing/2014/chart" uri="{C3380CC4-5D6E-409C-BE32-E72D297353CC}">
                <c16:uniqueId val="{00000005-7D8C-4D4E-8DA7-CFB60D501DC5}"/>
              </c:ext>
            </c:extLst>
          </c:dPt>
          <c:dPt>
            <c:idx val="3"/>
            <c:bubble3D val="0"/>
            <c:spPr>
              <a:solidFill>
                <a:srgbClr val="34A853"/>
              </a:solidFill>
            </c:spPr>
            <c:extLst>
              <c:ext xmlns:c16="http://schemas.microsoft.com/office/drawing/2014/chart" uri="{C3380CC4-5D6E-409C-BE32-E72D297353CC}">
                <c16:uniqueId val="{00000007-7D8C-4D4E-8DA7-CFB60D501DC5}"/>
              </c:ext>
            </c:extLst>
          </c:dPt>
          <c:val>
            <c:numRef>
              <c:f>'[1]RPi Pico W Official'!$N$3:$N$6</c:f>
              <c:numCache>
                <c:formatCode>0.00E+00</c:formatCode>
                <c:ptCount val="4"/>
                <c:pt idx="0">
                  <c:v>2.7223428430714701E-2</c:v>
                </c:pt>
                <c:pt idx="1">
                  <c:v>2.5415230232364645E-2</c:v>
                </c:pt>
                <c:pt idx="2">
                  <c:v>3.0000000000000001E-5</c:v>
                </c:pt>
                <c:pt idx="3">
                  <c:v>6.4557524875935024E-2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'[1]RPi Pico W Official'!$F$3:$F$6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7D8C-4D4E-8DA7-CFB60D501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lvl="0" rt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323850</xdr:colOff>
      <xdr:row>1</xdr:row>
      <xdr:rowOff>152400</xdr:rowOff>
    </xdr:from>
    <xdr:ext cx="8658225" cy="3533775"/>
    <xdr:pic>
      <xdr:nvPicPr>
        <xdr:cNvPr id="2" name="Chart66" title="Chart">
          <a:extLst>
            <a:ext uri="{FF2B5EF4-FFF2-40B4-BE49-F238E27FC236}">
              <a16:creationId xmlns:a16="http://schemas.microsoft.com/office/drawing/2014/main" id="{CD8EF033-B28C-4E3C-B8A7-D6128933863E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557000" y="958850"/>
          <a:ext cx="8658225" cy="3533775"/>
        </a:xfrm>
        <a:prstGeom prst="rect">
          <a:avLst/>
        </a:prstGeom>
        <a:noFill/>
      </xdr:spPr>
    </xdr:pic>
    <xdr:clientData fLocksWithSheet="0"/>
  </xdr:oneCellAnchor>
  <xdr:oneCellAnchor>
    <xdr:from>
      <xdr:col>14</xdr:col>
      <xdr:colOff>323850</xdr:colOff>
      <xdr:row>23</xdr:row>
      <xdr:rowOff>76200</xdr:rowOff>
    </xdr:from>
    <xdr:ext cx="5715000" cy="3533775"/>
    <xdr:pic>
      <xdr:nvPicPr>
        <xdr:cNvPr id="3" name="Chart67" title="Chart">
          <a:extLst>
            <a:ext uri="{FF2B5EF4-FFF2-40B4-BE49-F238E27FC236}">
              <a16:creationId xmlns:a16="http://schemas.microsoft.com/office/drawing/2014/main" id="{92C3900B-752E-4F2E-AB33-D401653D6D1D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1557000" y="7099300"/>
          <a:ext cx="5715000" cy="3533775"/>
        </a:xfrm>
        <a:prstGeom prst="rect">
          <a:avLst/>
        </a:prstGeom>
        <a:noFill/>
      </xdr:spPr>
    </xdr:pic>
    <xdr:clientData fLocksWithSheet="0"/>
  </xdr:oneCellAnchor>
  <xdr:oneCellAnchor>
    <xdr:from>
      <xdr:col>14</xdr:col>
      <xdr:colOff>323850</xdr:colOff>
      <xdr:row>38</xdr:row>
      <xdr:rowOff>47625</xdr:rowOff>
    </xdr:from>
    <xdr:ext cx="7762875" cy="4800600"/>
    <xdr:graphicFrame macro="">
      <xdr:nvGraphicFramePr>
        <xdr:cNvPr id="4" name="Chart 68" title="Chart">
          <a:extLst>
            <a:ext uri="{FF2B5EF4-FFF2-40B4-BE49-F238E27FC236}">
              <a16:creationId xmlns:a16="http://schemas.microsoft.com/office/drawing/2014/main" id="{F95A3FC3-58E2-441F-BC6E-3DC8240E27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zb75\Downloads\Copy%20of%20Results%20Dashboard%20w_%20New%20EcoInvent%20Data(1).xlsx" TargetMode="External"/><Relationship Id="rId1" Type="http://schemas.openxmlformats.org/officeDocument/2006/relationships/externalLinkPath" Target="/Users/szb75/Downloads/Copy%20of%20Results%20Dashboard%20w_%20New%20EcoInvent%20Data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  <sheetName val="HotCarbon_Results"/>
      <sheetName val="DecemberResults"/>
      <sheetName val="Rasberry Pi Results"/>
      <sheetName val="ICs"/>
      <sheetName val="RPi ICs"/>
      <sheetName val="reference"/>
      <sheetName val="Methodology"/>
      <sheetName val="Max Power Draw"/>
      <sheetName val="Arduino Nano 33 BLE Sense With "/>
      <sheetName val="Arduino Nano 33 BLE Sense NINA-"/>
      <sheetName val="Arduino Uno R3"/>
      <sheetName val="Analog Devices Max78000FTHR"/>
      <sheetName val="Coral Dev Micro"/>
      <sheetName val="nRF52840 Minimal"/>
      <sheetName val="Adafruit HUZZAH32 – ESP32"/>
      <sheetName val="STM32F411E"/>
      <sheetName val="Copy of STM32F411E"/>
      <sheetName val="RPi 4 BoM Official"/>
      <sheetName val="RPi 4 LCA Calculations"/>
      <sheetName val="RPi 4 Comparison"/>
      <sheetName val="RPi Official 3A+"/>
      <sheetName val="Raspberry Pi 3 A+"/>
      <sheetName val="Raspberry Pi Pico"/>
      <sheetName val="Raspberry Pi Pico W"/>
      <sheetName val="RPi Pico W Official"/>
      <sheetName val="RPi Pico W Comparison"/>
      <sheetName val="Raspberry Pi Pico 2"/>
      <sheetName val="Pico Minimal"/>
      <sheetName val="Minimal v Board"/>
    </sheetNames>
    <sheetDataSet>
      <sheetData sheetId="0">
        <row r="4">
          <cell r="BA4">
            <v>9.3800000000000008</v>
          </cell>
        </row>
        <row r="5">
          <cell r="BA5">
            <v>121</v>
          </cell>
        </row>
        <row r="6">
          <cell r="BA6">
            <v>63.5</v>
          </cell>
        </row>
        <row r="8">
          <cell r="BA8">
            <v>250.98639279577799</v>
          </cell>
        </row>
        <row r="10">
          <cell r="BA10">
            <v>171.36628794696799</v>
          </cell>
        </row>
        <row r="11">
          <cell r="BA11">
            <v>42.553061612350596</v>
          </cell>
        </row>
        <row r="13">
          <cell r="BA13">
            <v>10.096295252163101</v>
          </cell>
        </row>
        <row r="16">
          <cell r="BA16">
            <v>7.1225813124291202</v>
          </cell>
        </row>
      </sheetData>
      <sheetData sheetId="1"/>
      <sheetData sheetId="2"/>
      <sheetData sheetId="3"/>
      <sheetData sheetId="4">
        <row r="104">
          <cell r="V104">
            <v>2.7223428430714701E-2</v>
          </cell>
        </row>
        <row r="105">
          <cell r="V105">
            <v>2.5415230232364645E-2</v>
          </cell>
        </row>
        <row r="106">
          <cell r="V106">
            <v>3.0000000000000001E-5</v>
          </cell>
        </row>
        <row r="138">
          <cell r="V138">
            <v>6.4557524875935024E-2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3">
          <cell r="F3" t="str">
            <v>RP2040 - RP2B1MicroController</v>
          </cell>
          <cell r="N3">
            <v>2.7223428430714701E-2</v>
          </cell>
        </row>
        <row r="4">
          <cell r="F4" t="str">
            <v>Buck bosst switchmode PSU</v>
          </cell>
          <cell r="N4">
            <v>2.5415230232364645E-2</v>
          </cell>
        </row>
        <row r="5">
          <cell r="F5" t="str">
            <v>Serial NOR Flash, QSPI, 16MBit, 8-pin USON 2x3mm 133MHz</v>
          </cell>
          <cell r="N5">
            <v>3.0000000000000001E-5</v>
          </cell>
        </row>
        <row r="6">
          <cell r="F6" t="str">
            <v>BT WIFI FM Combo</v>
          </cell>
          <cell r="N6">
            <v>6.4557524875935024E-2</v>
          </cell>
        </row>
      </sheetData>
      <sheetData sheetId="26"/>
      <sheetData sheetId="27"/>
      <sheetData sheetId="28"/>
      <sheetData sheetId="2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me.com/us/en-us/details/690-005-298-486/usb-ieee1394-connectors/edac/" TargetMode="External"/><Relationship Id="rId13" Type="http://schemas.openxmlformats.org/officeDocument/2006/relationships/hyperlink" Target="https://www.mouser.com/ProductDetail/Pletronics-Inc/SM10T-18-12.0M-30G1LK?qs=dHOEZjiJ3XPFshrbziBOew%3D%3D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www.mouser.com/ProductDetail/Wurth-Elektronik/150060VS83000?qs=sGAEpiMZZMv0DJfhVcWlK8AiAHwfAGPKOn%252BI7ZZZ5B0gKCRU9b%252BNCw%3D%3D" TargetMode="External"/><Relationship Id="rId7" Type="http://schemas.openxmlformats.org/officeDocument/2006/relationships/hyperlink" Target="https://www.mouser.com/ProductDetail/Samtec/TSW-120-07-L-D?qs=rU5fayqh%252BE1YSi%252BSoApxaA%3D%3D" TargetMode="External"/><Relationship Id="rId12" Type="http://schemas.openxmlformats.org/officeDocument/2006/relationships/hyperlink" Target="https://www.mouser.com/ProductDetail/Keystone-Electronics/5027?qs=1Og3oR3ILyAYsz733uxQVA%3D%3D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www.mouser.com/ProductDetail/onsemi/MBR120VLSFT1G?qs=3JMERSakebpX%252BkItPpFCkg%3D%3D" TargetMode="External"/><Relationship Id="rId16" Type="http://schemas.openxmlformats.org/officeDocument/2006/relationships/drawing" Target="../drawings/drawing1.xml"/><Relationship Id="rId1" Type="http://schemas.openxmlformats.org/officeDocument/2006/relationships/hyperlink" Target="https://datasheets.raspberrypi.com/pico/pico-datasheet.pdf" TargetMode="External"/><Relationship Id="rId6" Type="http://schemas.openxmlformats.org/officeDocument/2006/relationships/hyperlink" Target="https://www.mouser.com/ProductDetail/TDK/DPX201990DT-4051A2?qs=ScVz0h70jCIydGMEt0zohw%3D%3D" TargetMode="External"/><Relationship Id="rId11" Type="http://schemas.openxmlformats.org/officeDocument/2006/relationships/hyperlink" Target="https://www.mouser.com/ProductDetail/TE-Connectivity-PB/FSMMSH?qs=qzQkFgQjdxW8Dw%252BB6sYjcw%3D%3D" TargetMode="External"/><Relationship Id="rId5" Type="http://schemas.openxmlformats.org/officeDocument/2006/relationships/hyperlink" Target="https://www.mouser.com/ProductDetail/Murata-Electronics/BLM18AG601SN1D?qs=eh6oC%2F9l24oGGaJFkAJJAA%3D%3D" TargetMode="External"/><Relationship Id="rId15" Type="http://schemas.openxmlformats.org/officeDocument/2006/relationships/hyperlink" Target="https://dl.acm.org/doi/pdf/10.1145/3643561" TargetMode="External"/><Relationship Id="rId10" Type="http://schemas.openxmlformats.org/officeDocument/2006/relationships/hyperlink" Target="https://www.mouser.com/ProductDetail/Diodes-Incorporated/DMG1012T-7?qs=vIZ3oKQCLxoEnfyeB0HcGQ%3D%3D&amp;srsltid=AfmBOoqwLgfmPQxeWQBrtmpKEfv9G4ctJhqvkXU2xRT2H2KZ5wvJGAwS" TargetMode="External"/><Relationship Id="rId4" Type="http://schemas.openxmlformats.org/officeDocument/2006/relationships/hyperlink" Target="https://www.mouser.com/ProductDetail/Murata-Electronics/BLM18AG601SN1?qs=%2F7R%2FnUXKGojg1nrY%252BGcFVg%3D%3D" TargetMode="External"/><Relationship Id="rId9" Type="http://schemas.openxmlformats.org/officeDocument/2006/relationships/hyperlink" Target="https://www.mouser.com/ProductDetail/Bourns/SRN2512-1R0M?qs=U0ECReq1GB9qICUtKbriKw%3D%3D" TargetMode="External"/><Relationship Id="rId14" Type="http://schemas.openxmlformats.org/officeDocument/2006/relationships/hyperlink" Target="https://www.mouser.com/ProductDetail/Epson-Timing/FA-118T-27.1200MD50Z-K3?qs=f9yNj16SXrL30ivkOSycAA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42DB9-3E89-4895-A467-337B90A88803}">
  <dimension ref="A1:AD1036"/>
  <sheetViews>
    <sheetView tabSelected="1" workbookViewId="0">
      <selection activeCell="C3" sqref="C3"/>
    </sheetView>
  </sheetViews>
  <sheetFormatPr defaultColWidth="12.6328125" defaultRowHeight="15.75" customHeight="1"/>
  <cols>
    <col min="2" max="2" width="10.6328125" customWidth="1"/>
    <col min="3" max="3" width="28.453125" customWidth="1"/>
    <col min="4" max="4" width="29.453125" customWidth="1"/>
    <col min="5" max="5" width="40.90625" hidden="1" customWidth="1"/>
    <col min="6" max="7" width="12.6328125" hidden="1" customWidth="1"/>
    <col min="8" max="8" width="0" hidden="1" customWidth="1"/>
    <col min="10" max="10" width="16.453125" customWidth="1"/>
  </cols>
  <sheetData>
    <row r="1" spans="1:30" ht="63.5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5" t="s">
        <v>13</v>
      </c>
      <c r="O1" s="6"/>
      <c r="P1" s="6"/>
      <c r="Q1" s="6"/>
      <c r="R1" s="7" t="s">
        <v>14</v>
      </c>
      <c r="S1" s="6"/>
      <c r="T1" s="7" t="s">
        <v>15</v>
      </c>
      <c r="W1" s="8"/>
      <c r="X1" s="8"/>
      <c r="Y1" s="8"/>
      <c r="Z1" s="8"/>
      <c r="AA1" s="6"/>
      <c r="AB1" s="6"/>
      <c r="AC1" s="6"/>
      <c r="AD1" s="6"/>
    </row>
    <row r="2" spans="1:30" ht="15.5">
      <c r="A2" s="9"/>
      <c r="B2" s="9"/>
      <c r="C2" s="10"/>
      <c r="E2" s="9"/>
      <c r="F2" s="9"/>
      <c r="G2" s="9"/>
      <c r="H2" s="11"/>
      <c r="I2" s="9"/>
      <c r="J2" s="10"/>
      <c r="N2" s="12"/>
      <c r="W2" s="7"/>
      <c r="X2" s="13"/>
      <c r="Y2" s="13"/>
      <c r="Z2" s="13"/>
    </row>
    <row r="3" spans="1:30" ht="15.5">
      <c r="A3" s="14" t="s">
        <v>16</v>
      </c>
      <c r="B3" s="15">
        <v>1</v>
      </c>
      <c r="C3" s="16" t="s">
        <v>17</v>
      </c>
      <c r="D3" s="9" t="s">
        <v>18</v>
      </c>
      <c r="E3" s="14" t="s">
        <v>19</v>
      </c>
      <c r="F3" s="16" t="s">
        <v>20</v>
      </c>
      <c r="H3" s="11"/>
      <c r="I3" s="9"/>
      <c r="J3" s="17" t="s">
        <v>21</v>
      </c>
      <c r="N3" s="12">
        <f>[1]ICs!V104</f>
        <v>2.7223428430714701E-2</v>
      </c>
      <c r="W3" s="7"/>
      <c r="X3" s="13"/>
      <c r="Y3" s="13"/>
      <c r="Z3" s="13"/>
    </row>
    <row r="4" spans="1:30" ht="15.5">
      <c r="A4" s="14" t="s">
        <v>22</v>
      </c>
      <c r="B4" s="15">
        <v>1</v>
      </c>
      <c r="C4" s="16" t="s">
        <v>23</v>
      </c>
      <c r="D4" s="9" t="s">
        <v>24</v>
      </c>
      <c r="E4" s="16" t="s">
        <v>25</v>
      </c>
      <c r="F4" s="16" t="s">
        <v>26</v>
      </c>
      <c r="H4" s="11"/>
      <c r="I4" s="9"/>
      <c r="J4" s="17" t="s">
        <v>23</v>
      </c>
      <c r="N4" s="12">
        <f>[1]ICs!V105</f>
        <v>2.5415230232364645E-2</v>
      </c>
      <c r="W4" s="7"/>
      <c r="X4" s="13"/>
      <c r="Y4" s="13"/>
      <c r="Z4" s="13"/>
    </row>
    <row r="5" spans="1:30" ht="15.5">
      <c r="A5" s="14" t="s">
        <v>27</v>
      </c>
      <c r="B5" s="15">
        <v>1</v>
      </c>
      <c r="C5" s="16" t="s">
        <v>28</v>
      </c>
      <c r="D5" s="9" t="s">
        <v>24</v>
      </c>
      <c r="E5" s="16" t="s">
        <v>29</v>
      </c>
      <c r="F5" s="16" t="s">
        <v>30</v>
      </c>
      <c r="H5" s="18"/>
      <c r="I5" s="19"/>
      <c r="J5" s="17" t="s">
        <v>28</v>
      </c>
      <c r="N5" s="12">
        <f>[1]ICs!V106</f>
        <v>3.0000000000000001E-5</v>
      </c>
      <c r="W5" s="7"/>
      <c r="X5" s="13"/>
      <c r="Y5" s="13"/>
      <c r="Z5" s="13"/>
    </row>
    <row r="6" spans="1:30" ht="15.5">
      <c r="A6" s="14" t="s">
        <v>31</v>
      </c>
      <c r="B6" s="15">
        <v>1</v>
      </c>
      <c r="C6" s="16" t="s">
        <v>32</v>
      </c>
      <c r="D6" s="9" t="s">
        <v>24</v>
      </c>
      <c r="E6" s="16" t="s">
        <v>25</v>
      </c>
      <c r="F6" s="16" t="s">
        <v>33</v>
      </c>
      <c r="J6" s="17" t="s">
        <v>32</v>
      </c>
      <c r="N6" s="12">
        <f>[1]ICs!V138</f>
        <v>6.4557524875935024E-2</v>
      </c>
      <c r="W6" s="7"/>
      <c r="X6" s="13"/>
      <c r="Y6" s="13"/>
      <c r="Z6" s="13"/>
    </row>
    <row r="7" spans="1:30" ht="15.5">
      <c r="A7" s="20">
        <v>1</v>
      </c>
      <c r="B7" s="10"/>
      <c r="C7" s="10" t="s">
        <v>34</v>
      </c>
      <c r="D7" s="10" t="s">
        <v>34</v>
      </c>
      <c r="E7" s="9" t="s">
        <v>35</v>
      </c>
      <c r="F7" s="10"/>
      <c r="G7" s="10"/>
      <c r="H7" s="21"/>
      <c r="I7" s="9"/>
      <c r="J7" s="10"/>
      <c r="K7" s="9">
        <f>51*21</f>
        <v>1071</v>
      </c>
      <c r="L7" s="9">
        <v>2</v>
      </c>
      <c r="M7" s="22">
        <v>1</v>
      </c>
      <c r="N7" s="23">
        <f>K7*L7*M7*H58</f>
        <v>1.3119750000000001E-2</v>
      </c>
      <c r="W7" s="7"/>
      <c r="X7" s="13"/>
      <c r="Y7" s="13"/>
      <c r="Z7" s="13"/>
    </row>
    <row r="8" spans="1:30" ht="29">
      <c r="A8" s="14" t="s">
        <v>36</v>
      </c>
      <c r="B8" s="15">
        <v>3</v>
      </c>
      <c r="C8" s="16" t="s">
        <v>37</v>
      </c>
      <c r="D8" s="9" t="s">
        <v>38</v>
      </c>
      <c r="E8" s="10" t="s">
        <v>39</v>
      </c>
      <c r="F8" s="16" t="s">
        <v>40</v>
      </c>
      <c r="G8" s="10"/>
      <c r="H8" s="21"/>
      <c r="J8" s="17" t="s">
        <v>41</v>
      </c>
      <c r="N8" s="12">
        <f>C61*B8</f>
        <v>3.2009999999999999E-3</v>
      </c>
      <c r="W8" s="7"/>
      <c r="X8" s="13"/>
      <c r="Y8" s="13"/>
      <c r="Z8" s="13"/>
    </row>
    <row r="9" spans="1:30" ht="29">
      <c r="A9" s="14" t="s">
        <v>42</v>
      </c>
      <c r="B9" s="15">
        <v>13</v>
      </c>
      <c r="C9" s="16" t="s">
        <v>43</v>
      </c>
      <c r="D9" s="9" t="s">
        <v>38</v>
      </c>
      <c r="E9" s="10" t="s">
        <v>39</v>
      </c>
      <c r="F9" s="16" t="s">
        <v>44</v>
      </c>
      <c r="G9" s="10"/>
      <c r="H9" s="21"/>
      <c r="I9" s="24"/>
      <c r="J9" s="17" t="s">
        <v>45</v>
      </c>
      <c r="N9" s="12">
        <f>C60*B9</f>
        <v>7.9430000000000004E-3</v>
      </c>
      <c r="W9" s="7"/>
      <c r="X9" s="13"/>
      <c r="Y9" s="13"/>
      <c r="Z9" s="13"/>
    </row>
    <row r="10" spans="1:30" ht="29">
      <c r="A10" s="14" t="s">
        <v>46</v>
      </c>
      <c r="B10" s="15">
        <v>6</v>
      </c>
      <c r="C10" s="16" t="s">
        <v>47</v>
      </c>
      <c r="D10" s="9" t="s">
        <v>38</v>
      </c>
      <c r="E10" s="10" t="s">
        <v>39</v>
      </c>
      <c r="F10" s="16" t="s">
        <v>48</v>
      </c>
      <c r="G10" s="10"/>
      <c r="H10" s="21"/>
      <c r="I10" s="24"/>
      <c r="J10" s="17" t="s">
        <v>49</v>
      </c>
      <c r="N10" s="12">
        <f>C59*B10</f>
        <v>8.7600000000000004E-4</v>
      </c>
      <c r="W10" s="7"/>
      <c r="X10" s="13"/>
      <c r="Y10" s="13"/>
      <c r="Z10" s="13"/>
    </row>
    <row r="11" spans="1:30" ht="29">
      <c r="A11" s="14" t="s">
        <v>50</v>
      </c>
      <c r="B11" s="15">
        <v>2</v>
      </c>
      <c r="C11" s="16" t="s">
        <v>51</v>
      </c>
      <c r="D11" s="9" t="s">
        <v>38</v>
      </c>
      <c r="E11" s="10" t="s">
        <v>39</v>
      </c>
      <c r="F11" s="16" t="s">
        <v>52</v>
      </c>
      <c r="G11" s="10"/>
      <c r="H11" s="21"/>
      <c r="I11" s="24"/>
      <c r="J11" s="17" t="s">
        <v>53</v>
      </c>
      <c r="N11" s="12">
        <f>B11*C60</f>
        <v>1.222E-3</v>
      </c>
      <c r="W11" s="7"/>
      <c r="X11" s="13"/>
      <c r="Y11" s="13"/>
      <c r="Z11" s="13"/>
    </row>
    <row r="12" spans="1:30" ht="29">
      <c r="A12" s="14" t="s">
        <v>54</v>
      </c>
      <c r="B12" s="15">
        <v>3</v>
      </c>
      <c r="C12" s="16" t="s">
        <v>55</v>
      </c>
      <c r="D12" s="9" t="s">
        <v>38</v>
      </c>
      <c r="E12" s="10" t="s">
        <v>39</v>
      </c>
      <c r="F12" s="16" t="s">
        <v>56</v>
      </c>
      <c r="G12" s="10"/>
      <c r="H12" s="21"/>
      <c r="I12" s="24"/>
      <c r="J12" s="17" t="s">
        <v>57</v>
      </c>
      <c r="N12" s="12">
        <f>B12*C59</f>
        <v>4.3800000000000002E-4</v>
      </c>
      <c r="W12" s="7"/>
      <c r="X12" s="13"/>
      <c r="Y12" s="13"/>
      <c r="Z12" s="13"/>
    </row>
    <row r="13" spans="1:30" ht="29">
      <c r="A13" s="14" t="s">
        <v>58</v>
      </c>
      <c r="B13" s="15">
        <v>4</v>
      </c>
      <c r="C13" s="16" t="s">
        <v>59</v>
      </c>
      <c r="D13" s="9" t="s">
        <v>38</v>
      </c>
      <c r="E13" s="10" t="s">
        <v>39</v>
      </c>
      <c r="F13" s="16" t="s">
        <v>60</v>
      </c>
      <c r="G13" s="10"/>
      <c r="H13" s="21"/>
      <c r="I13" s="24"/>
      <c r="J13" s="17" t="s">
        <v>61</v>
      </c>
      <c r="N13" s="12">
        <f>B13*C60</f>
        <v>2.444E-3</v>
      </c>
      <c r="W13" s="7"/>
      <c r="X13" s="13"/>
      <c r="Y13" s="13"/>
      <c r="Z13" s="13"/>
    </row>
    <row r="14" spans="1:30" ht="15.5">
      <c r="A14" s="14" t="s">
        <v>62</v>
      </c>
      <c r="B14" s="15">
        <v>2</v>
      </c>
      <c r="C14" s="16" t="s">
        <v>63</v>
      </c>
      <c r="D14" s="9" t="s">
        <v>38</v>
      </c>
      <c r="E14" s="10" t="s">
        <v>39</v>
      </c>
      <c r="F14" s="16" t="s">
        <v>64</v>
      </c>
      <c r="G14" s="10"/>
      <c r="H14" s="25"/>
      <c r="I14" s="6"/>
      <c r="J14" s="17"/>
      <c r="N14" s="12">
        <f>B14*C60</f>
        <v>1.222E-3</v>
      </c>
      <c r="W14" s="7"/>
      <c r="X14" s="13"/>
      <c r="Y14" s="13"/>
      <c r="Z14" s="13"/>
    </row>
    <row r="15" spans="1:30" ht="29">
      <c r="A15" s="14" t="s">
        <v>65</v>
      </c>
      <c r="B15" s="15">
        <v>2</v>
      </c>
      <c r="C15" s="16" t="s">
        <v>66</v>
      </c>
      <c r="D15" s="9" t="s">
        <v>38</v>
      </c>
      <c r="E15" s="10" t="s">
        <v>39</v>
      </c>
      <c r="F15" s="16" t="s">
        <v>67</v>
      </c>
      <c r="G15" s="10"/>
      <c r="H15" s="21"/>
      <c r="I15" s="24"/>
      <c r="J15" s="17" t="s">
        <v>68</v>
      </c>
      <c r="N15" s="12">
        <f>B15*C60</f>
        <v>1.222E-3</v>
      </c>
      <c r="W15" s="7"/>
      <c r="X15" s="13"/>
      <c r="Y15" s="13"/>
      <c r="Z15" s="13"/>
    </row>
    <row r="16" spans="1:30" ht="29">
      <c r="A16" s="14" t="s">
        <v>69</v>
      </c>
      <c r="B16" s="15">
        <v>2</v>
      </c>
      <c r="C16" s="16" t="s">
        <v>70</v>
      </c>
      <c r="D16" s="9" t="s">
        <v>38</v>
      </c>
      <c r="E16" s="10" t="s">
        <v>39</v>
      </c>
      <c r="F16" s="16" t="s">
        <v>71</v>
      </c>
      <c r="G16" s="10"/>
      <c r="H16" s="21"/>
      <c r="I16" s="24"/>
      <c r="J16" s="17" t="s">
        <v>72</v>
      </c>
      <c r="N16" s="12">
        <f>B16*C60</f>
        <v>1.222E-3</v>
      </c>
      <c r="W16" s="7"/>
      <c r="X16" s="13"/>
      <c r="Y16" s="13"/>
      <c r="Z16" s="13"/>
    </row>
    <row r="17" spans="1:26" ht="29">
      <c r="A17" s="14" t="s">
        <v>73</v>
      </c>
      <c r="B17" s="15">
        <v>2</v>
      </c>
      <c r="C17" s="16" t="s">
        <v>74</v>
      </c>
      <c r="D17" s="9" t="s">
        <v>38</v>
      </c>
      <c r="E17" s="10" t="s">
        <v>39</v>
      </c>
      <c r="F17" s="16" t="s">
        <v>75</v>
      </c>
      <c r="G17" s="10"/>
      <c r="H17" s="21"/>
      <c r="I17" s="24"/>
      <c r="J17" s="17" t="s">
        <v>76</v>
      </c>
      <c r="N17" s="12">
        <f>C59*B17</f>
        <v>2.92E-4</v>
      </c>
      <c r="W17" s="7"/>
      <c r="X17" s="13"/>
      <c r="Y17" s="13"/>
      <c r="Z17" s="13"/>
    </row>
    <row r="18" spans="1:26" ht="29">
      <c r="A18" s="14" t="s">
        <v>77</v>
      </c>
      <c r="B18" s="15">
        <v>1</v>
      </c>
      <c r="C18" s="16" t="s">
        <v>78</v>
      </c>
      <c r="D18" s="9" t="s">
        <v>38</v>
      </c>
      <c r="E18" s="10" t="s">
        <v>39</v>
      </c>
      <c r="F18" s="16" t="s">
        <v>79</v>
      </c>
      <c r="G18" s="10"/>
      <c r="H18" s="21"/>
      <c r="I18" s="24"/>
      <c r="J18" s="17" t="s">
        <v>80</v>
      </c>
      <c r="N18" s="12">
        <f>C59*B18</f>
        <v>1.46E-4</v>
      </c>
      <c r="W18" s="7"/>
      <c r="X18" s="13"/>
      <c r="Y18" s="13"/>
      <c r="Z18" s="13"/>
    </row>
    <row r="19" spans="1:26" ht="29">
      <c r="A19" s="14" t="s">
        <v>81</v>
      </c>
      <c r="B19" s="15">
        <v>1</v>
      </c>
      <c r="C19" s="16" t="s">
        <v>82</v>
      </c>
      <c r="D19" s="9" t="s">
        <v>38</v>
      </c>
      <c r="E19" s="10" t="s">
        <v>39</v>
      </c>
      <c r="F19" s="16" t="s">
        <v>83</v>
      </c>
      <c r="G19" s="10"/>
      <c r="H19" s="21"/>
      <c r="I19" s="9"/>
      <c r="J19" s="17" t="s">
        <v>84</v>
      </c>
      <c r="N19" s="12">
        <f>C59*B19</f>
        <v>1.46E-4</v>
      </c>
      <c r="W19" s="7"/>
      <c r="X19" s="13"/>
      <c r="Y19" s="13"/>
      <c r="Z19" s="13"/>
    </row>
    <row r="20" spans="1:26" ht="15.5">
      <c r="A20" s="14" t="s">
        <v>85</v>
      </c>
      <c r="B20" s="15">
        <v>1</v>
      </c>
      <c r="C20" s="16" t="s">
        <v>86</v>
      </c>
      <c r="D20" s="9" t="s">
        <v>87</v>
      </c>
      <c r="E20" s="16" t="s">
        <v>88</v>
      </c>
      <c r="F20" s="16" t="s">
        <v>89</v>
      </c>
      <c r="G20" s="10"/>
      <c r="H20" s="26">
        <v>4.1300000000000001E-4</v>
      </c>
      <c r="I20" s="24">
        <f t="shared" ref="I20:I26" si="0">CONVERT(H20, "ozm", "kg")</f>
        <v>1.1708353050625E-5</v>
      </c>
      <c r="J20" s="27" t="s">
        <v>86</v>
      </c>
      <c r="N20" s="12">
        <f>I20*[1]Results!BA8</f>
        <v>2.9386372977558118E-3</v>
      </c>
      <c r="W20" s="7"/>
      <c r="X20" s="13"/>
      <c r="Y20" s="13"/>
      <c r="Z20" s="13"/>
    </row>
    <row r="21" spans="1:26" ht="15.5">
      <c r="A21" s="14" t="s">
        <v>90</v>
      </c>
      <c r="B21" s="15">
        <v>1</v>
      </c>
      <c r="C21" s="16" t="s">
        <v>91</v>
      </c>
      <c r="D21" s="9" t="s">
        <v>87</v>
      </c>
      <c r="E21" s="16" t="s">
        <v>88</v>
      </c>
      <c r="F21" s="16" t="s">
        <v>92</v>
      </c>
      <c r="G21" s="10"/>
      <c r="H21" s="9">
        <v>5.3000000000000001E-5</v>
      </c>
      <c r="I21" s="24">
        <f t="shared" si="0"/>
        <v>1.502524725625E-6</v>
      </c>
      <c r="J21" s="27" t="s">
        <v>93</v>
      </c>
      <c r="N21" s="12">
        <f>I21*[1]Results!BA8</f>
        <v>3.771132609710848E-4</v>
      </c>
      <c r="W21" s="7"/>
      <c r="X21" s="13"/>
      <c r="Y21" s="13"/>
      <c r="Z21" s="13"/>
    </row>
    <row r="22" spans="1:26" ht="15.5">
      <c r="A22" s="14" t="s">
        <v>94</v>
      </c>
      <c r="B22" s="15">
        <v>1</v>
      </c>
      <c r="C22" s="16" t="s">
        <v>95</v>
      </c>
      <c r="D22" s="9" t="s">
        <v>96</v>
      </c>
      <c r="E22" s="14" t="s">
        <v>97</v>
      </c>
      <c r="F22" s="16" t="s">
        <v>98</v>
      </c>
      <c r="G22" s="10"/>
      <c r="H22" s="26">
        <v>7.1000000000000005E-5</v>
      </c>
      <c r="I22" s="24">
        <f t="shared" si="0"/>
        <v>2.0128161418750003E-6</v>
      </c>
      <c r="J22" s="27" t="s">
        <v>99</v>
      </c>
      <c r="N22" s="12">
        <f>I22*[1]Results!BA5</f>
        <v>2.4355075316687504E-4</v>
      </c>
      <c r="W22" s="7"/>
      <c r="X22" s="13"/>
      <c r="Y22" s="13"/>
      <c r="Z22" s="13"/>
    </row>
    <row r="23" spans="1:26" ht="15.5">
      <c r="A23" s="14" t="s">
        <v>100</v>
      </c>
      <c r="B23" s="15">
        <v>1</v>
      </c>
      <c r="C23" s="16" t="s">
        <v>95</v>
      </c>
      <c r="D23" s="9" t="s">
        <v>96</v>
      </c>
      <c r="E23" s="16" t="s">
        <v>97</v>
      </c>
      <c r="F23" s="16" t="s">
        <v>101</v>
      </c>
      <c r="G23" s="10"/>
      <c r="H23" s="26">
        <v>1.235E-3</v>
      </c>
      <c r="I23" s="24">
        <f t="shared" si="0"/>
        <v>3.5011661059374999E-5</v>
      </c>
      <c r="J23" s="27" t="s">
        <v>102</v>
      </c>
      <c r="N23" s="12">
        <f>I23*[1]Results!BA5</f>
        <v>4.236410988184375E-3</v>
      </c>
      <c r="W23" s="7"/>
      <c r="X23" s="13"/>
      <c r="Y23" s="13"/>
      <c r="Z23" s="13"/>
    </row>
    <row r="24" spans="1:26" ht="43.5">
      <c r="A24" s="14" t="s">
        <v>103</v>
      </c>
      <c r="B24" s="15">
        <v>1</v>
      </c>
      <c r="C24" s="16" t="s">
        <v>104</v>
      </c>
      <c r="D24" s="28" t="s">
        <v>105</v>
      </c>
      <c r="E24" s="14" t="s">
        <v>106</v>
      </c>
      <c r="F24" s="16" t="s">
        <v>107</v>
      </c>
      <c r="G24" s="10"/>
      <c r="H24" s="26">
        <v>2.8200000000000002E-4</v>
      </c>
      <c r="I24" s="24">
        <f t="shared" si="0"/>
        <v>7.9945655212500003E-6</v>
      </c>
      <c r="J24" s="27" t="s">
        <v>108</v>
      </c>
      <c r="N24" s="12">
        <f>I24*[1]Results!BA5</f>
        <v>9.6734242807125005E-4</v>
      </c>
    </row>
    <row r="25" spans="1:26" ht="14.5">
      <c r="A25" s="14" t="s">
        <v>109</v>
      </c>
      <c r="B25" s="15">
        <v>1</v>
      </c>
      <c r="C25" s="16" t="s">
        <v>110</v>
      </c>
      <c r="D25" s="16" t="s">
        <v>111</v>
      </c>
      <c r="E25" s="16" t="s">
        <v>111</v>
      </c>
      <c r="F25" s="16" t="s">
        <v>112</v>
      </c>
      <c r="G25" s="10"/>
      <c r="H25" s="21">
        <v>2.5142999999999999E-2</v>
      </c>
      <c r="I25" s="24">
        <f t="shared" si="0"/>
        <v>7.1279205993187496E-4</v>
      </c>
      <c r="J25" s="22" t="s">
        <v>113</v>
      </c>
      <c r="N25" s="12">
        <f>I25*B25*[1]Results!BA4</f>
        <v>6.6859895221609879E-3</v>
      </c>
    </row>
    <row r="26" spans="1:26" ht="14.5">
      <c r="A26" s="14" t="s">
        <v>114</v>
      </c>
      <c r="B26" s="15">
        <v>1</v>
      </c>
      <c r="C26" s="16" t="s">
        <v>115</v>
      </c>
      <c r="D26" s="9" t="s">
        <v>116</v>
      </c>
      <c r="E26" s="16" t="s">
        <v>111</v>
      </c>
      <c r="F26" s="16" t="s">
        <v>117</v>
      </c>
      <c r="G26" s="10"/>
      <c r="H26" s="25">
        <v>1.0017804999999999E-2</v>
      </c>
      <c r="I26" s="6">
        <f t="shared" si="0"/>
        <v>2.8399999450924064E-4</v>
      </c>
      <c r="J26" s="27" t="s">
        <v>115</v>
      </c>
      <c r="N26" s="12">
        <f>I26*[1]Results!BA4</f>
        <v>2.6639199484966773E-3</v>
      </c>
      <c r="V26" s="29">
        <f>SUM(N2:N23)</f>
        <v>0.15851564583909253</v>
      </c>
    </row>
    <row r="27" spans="1:26" ht="14.5">
      <c r="A27" s="14" t="s">
        <v>118</v>
      </c>
      <c r="B27" s="15">
        <v>1</v>
      </c>
      <c r="C27" s="16" t="s">
        <v>119</v>
      </c>
      <c r="D27" s="16" t="s">
        <v>111</v>
      </c>
      <c r="E27" s="16" t="s">
        <v>111</v>
      </c>
      <c r="F27" s="16" t="s">
        <v>120</v>
      </c>
      <c r="G27" s="10"/>
      <c r="H27" s="25"/>
      <c r="I27" s="30">
        <f>I25/40*3</f>
        <v>5.3459404494890617E-5</v>
      </c>
      <c r="J27" s="17"/>
      <c r="N27" s="12">
        <f>I27*B27*[1]Results!BA4</f>
        <v>5.0144921416207398E-4</v>
      </c>
    </row>
    <row r="28" spans="1:26" ht="15.5">
      <c r="A28" s="14" t="s">
        <v>121</v>
      </c>
      <c r="B28" s="15">
        <v>1</v>
      </c>
      <c r="C28" s="16" t="s">
        <v>59</v>
      </c>
      <c r="D28" s="9" t="s">
        <v>122</v>
      </c>
      <c r="E28" s="16" t="s">
        <v>123</v>
      </c>
      <c r="F28" s="16" t="s">
        <v>124</v>
      </c>
      <c r="G28" s="10"/>
      <c r="H28" s="26">
        <v>1.129E-3</v>
      </c>
      <c r="I28" s="24">
        <f>CONVERT(H28, "ozm", "kg")</f>
        <v>3.2006611608124997E-5</v>
      </c>
      <c r="J28" s="27" t="s">
        <v>125</v>
      </c>
      <c r="N28" s="12">
        <f>I28*[1]Results!BA11</f>
        <v>1.3619793157631187E-3</v>
      </c>
      <c r="W28" s="7"/>
      <c r="X28" s="13"/>
      <c r="Y28" s="13"/>
      <c r="Z28" s="13"/>
    </row>
    <row r="29" spans="1:26" ht="14.5">
      <c r="A29" s="14" t="s">
        <v>126</v>
      </c>
      <c r="B29" s="15">
        <v>1</v>
      </c>
      <c r="C29" s="16" t="s">
        <v>47</v>
      </c>
      <c r="D29" s="9" t="s">
        <v>122</v>
      </c>
      <c r="E29" s="16" t="s">
        <v>123</v>
      </c>
      <c r="F29" s="16" t="s">
        <v>127</v>
      </c>
      <c r="G29" s="10"/>
      <c r="H29" s="21"/>
      <c r="I29" s="9"/>
      <c r="J29" s="17" t="s">
        <v>128</v>
      </c>
      <c r="N29" s="12">
        <f>B29*D60</f>
        <v>3.3E-4</v>
      </c>
    </row>
    <row r="30" spans="1:26" ht="14.5">
      <c r="A30" s="14" t="s">
        <v>129</v>
      </c>
      <c r="B30" s="15">
        <v>1</v>
      </c>
      <c r="C30" s="16" t="s">
        <v>130</v>
      </c>
      <c r="D30" s="9" t="s">
        <v>122</v>
      </c>
      <c r="E30" s="16" t="s">
        <v>123</v>
      </c>
      <c r="F30" s="16" t="s">
        <v>131</v>
      </c>
      <c r="G30" s="10"/>
      <c r="H30" s="21"/>
      <c r="I30" s="9"/>
      <c r="J30" s="17" t="s">
        <v>132</v>
      </c>
      <c r="N30" s="12">
        <f>B30*D60</f>
        <v>3.3E-4</v>
      </c>
    </row>
    <row r="31" spans="1:26" ht="14.5">
      <c r="A31" s="14" t="s">
        <v>133</v>
      </c>
      <c r="B31" s="15">
        <v>1</v>
      </c>
      <c r="C31" s="16" t="s">
        <v>134</v>
      </c>
      <c r="D31" s="14" t="s">
        <v>135</v>
      </c>
      <c r="E31" s="14" t="s">
        <v>135</v>
      </c>
      <c r="F31" s="16" t="s">
        <v>136</v>
      </c>
      <c r="G31" s="10"/>
      <c r="H31" s="21">
        <v>7.1000000000000005E-5</v>
      </c>
      <c r="I31" s="9">
        <f>CONVERT(H31, "ozm", "kg")</f>
        <v>2.0128161418750003E-6</v>
      </c>
      <c r="J31" s="27" t="s">
        <v>134</v>
      </c>
      <c r="N31" s="12">
        <f>I31*[1]Results!BA10</f>
        <v>3.4492883055285646E-4</v>
      </c>
    </row>
    <row r="32" spans="1:26" ht="15.5">
      <c r="A32" s="14" t="s">
        <v>137</v>
      </c>
      <c r="B32" s="31">
        <v>4</v>
      </c>
      <c r="C32" s="16" t="s">
        <v>138</v>
      </c>
      <c r="D32" s="9" t="s">
        <v>139</v>
      </c>
      <c r="E32" s="16" t="s">
        <v>139</v>
      </c>
      <c r="F32" s="16" t="s">
        <v>140</v>
      </c>
      <c r="G32" s="10"/>
      <c r="H32" s="32"/>
      <c r="I32" s="33"/>
      <c r="J32" s="17"/>
      <c r="N32" s="12">
        <f>B32*B60</f>
        <v>4.8000000000000001E-4</v>
      </c>
      <c r="W32" s="7"/>
      <c r="X32" s="13"/>
      <c r="Y32" s="13"/>
      <c r="Z32" s="13"/>
    </row>
    <row r="33" spans="1:26" ht="29">
      <c r="A33" s="14" t="s">
        <v>141</v>
      </c>
      <c r="B33" s="31">
        <v>3</v>
      </c>
      <c r="C33" s="16" t="s">
        <v>142</v>
      </c>
      <c r="D33" s="9" t="s">
        <v>139</v>
      </c>
      <c r="E33" s="16" t="s">
        <v>139</v>
      </c>
      <c r="F33" s="16" t="s">
        <v>143</v>
      </c>
      <c r="G33" s="10"/>
      <c r="H33" s="21"/>
      <c r="I33" s="34"/>
      <c r="J33" s="17" t="s">
        <v>144</v>
      </c>
      <c r="N33" s="12">
        <f t="shared" ref="N33:N35" si="1">B33*$B$60</f>
        <v>3.6000000000000002E-4</v>
      </c>
      <c r="W33" s="7"/>
      <c r="X33" s="13"/>
      <c r="Y33" s="13"/>
      <c r="Z33" s="13"/>
    </row>
    <row r="34" spans="1:26" ht="15.5">
      <c r="A34" s="14" t="s">
        <v>145</v>
      </c>
      <c r="B34" s="15">
        <v>1</v>
      </c>
      <c r="C34" s="16" t="s">
        <v>146</v>
      </c>
      <c r="D34" s="9" t="s">
        <v>139</v>
      </c>
      <c r="E34" s="16" t="s">
        <v>139</v>
      </c>
      <c r="F34" s="16" t="s">
        <v>147</v>
      </c>
      <c r="G34" s="10"/>
      <c r="H34" s="21"/>
      <c r="I34" s="33"/>
      <c r="J34" s="17"/>
      <c r="N34" s="12">
        <f>B34*$B$60</f>
        <v>1.2E-4</v>
      </c>
      <c r="W34" s="7"/>
      <c r="X34" s="13"/>
      <c r="Y34" s="13"/>
      <c r="Z34" s="13"/>
    </row>
    <row r="35" spans="1:26" ht="15.5">
      <c r="A35" s="14" t="s">
        <v>148</v>
      </c>
      <c r="B35" s="15">
        <v>1</v>
      </c>
      <c r="C35" s="16" t="s">
        <v>149</v>
      </c>
      <c r="D35" s="9" t="s">
        <v>139</v>
      </c>
      <c r="E35" s="16" t="s">
        <v>139</v>
      </c>
      <c r="F35" s="16" t="s">
        <v>150</v>
      </c>
      <c r="H35" s="35"/>
      <c r="I35" s="36"/>
      <c r="J35" s="17"/>
      <c r="N35" s="12">
        <f t="shared" si="1"/>
        <v>1.2E-4</v>
      </c>
      <c r="W35" s="7"/>
      <c r="X35" s="13"/>
      <c r="Y35" s="13"/>
      <c r="Z35" s="13"/>
    </row>
    <row r="36" spans="1:26" ht="29">
      <c r="A36" s="14" t="s">
        <v>151</v>
      </c>
      <c r="B36" s="15">
        <v>1</v>
      </c>
      <c r="C36" s="16" t="s">
        <v>152</v>
      </c>
      <c r="D36" s="9" t="s">
        <v>139</v>
      </c>
      <c r="E36" s="16" t="s">
        <v>139</v>
      </c>
      <c r="F36" s="16" t="s">
        <v>153</v>
      </c>
      <c r="H36" s="35"/>
      <c r="I36" s="36"/>
      <c r="J36" s="17" t="s">
        <v>154</v>
      </c>
      <c r="N36" s="12">
        <f>B36*B60</f>
        <v>1.2E-4</v>
      </c>
      <c r="W36" s="7"/>
      <c r="X36" s="13"/>
      <c r="Y36" s="13"/>
      <c r="Z36" s="13"/>
    </row>
    <row r="37" spans="1:26" ht="15.5">
      <c r="A37" s="14" t="s">
        <v>155</v>
      </c>
      <c r="B37" s="15">
        <v>1</v>
      </c>
      <c r="C37" s="16" t="s">
        <v>156</v>
      </c>
      <c r="D37" s="9" t="s">
        <v>139</v>
      </c>
      <c r="E37" s="16" t="s">
        <v>139</v>
      </c>
      <c r="F37" s="16" t="s">
        <v>157</v>
      </c>
      <c r="H37" s="37"/>
      <c r="I37" s="33"/>
      <c r="J37" s="17" t="s">
        <v>158</v>
      </c>
      <c r="N37" s="12">
        <f t="shared" ref="N37:N38" si="2">B37*B59</f>
        <v>4.0000000000000003E-5</v>
      </c>
      <c r="W37" s="7"/>
      <c r="X37" s="13"/>
      <c r="Y37" s="13"/>
      <c r="Z37" s="13"/>
    </row>
    <row r="38" spans="1:26" ht="15.5">
      <c r="A38" s="14" t="s">
        <v>159</v>
      </c>
      <c r="B38" s="15">
        <v>2</v>
      </c>
      <c r="C38" s="16" t="s">
        <v>160</v>
      </c>
      <c r="D38" s="9" t="s">
        <v>139</v>
      </c>
      <c r="E38" s="16" t="s">
        <v>139</v>
      </c>
      <c r="F38" s="16" t="s">
        <v>161</v>
      </c>
      <c r="H38" s="35"/>
      <c r="I38" s="36"/>
      <c r="J38" s="17"/>
      <c r="N38" s="12">
        <f t="shared" si="2"/>
        <v>2.4000000000000001E-4</v>
      </c>
      <c r="W38" s="7"/>
      <c r="X38" s="13"/>
      <c r="Y38" s="13"/>
      <c r="Z38" s="13"/>
    </row>
    <row r="39" spans="1:26" ht="15.5">
      <c r="A39" s="14" t="s">
        <v>162</v>
      </c>
      <c r="B39" s="15">
        <v>2</v>
      </c>
      <c r="C39" s="16" t="s">
        <v>163</v>
      </c>
      <c r="D39" s="9" t="s">
        <v>139</v>
      </c>
      <c r="E39" s="16" t="s">
        <v>139</v>
      </c>
      <c r="F39" s="16" t="s">
        <v>164</v>
      </c>
      <c r="H39" s="33"/>
      <c r="I39" s="36"/>
      <c r="J39" s="17" t="s">
        <v>165</v>
      </c>
      <c r="N39" s="12">
        <f>B39*B60</f>
        <v>2.4000000000000001E-4</v>
      </c>
      <c r="W39" s="38" t="s">
        <v>166</v>
      </c>
      <c r="X39" s="13">
        <f>0.001*0.01</f>
        <v>1.0000000000000001E-5</v>
      </c>
      <c r="Y39" s="13">
        <f>0.001*0.036</f>
        <v>3.6000000000000001E-5</v>
      </c>
      <c r="Z39" s="13">
        <f>0.001*0.022</f>
        <v>2.1999999999999999E-5</v>
      </c>
    </row>
    <row r="40" spans="1:26" ht="29">
      <c r="A40" s="14" t="s">
        <v>167</v>
      </c>
      <c r="B40" s="15">
        <v>1</v>
      </c>
      <c r="C40" s="16" t="s">
        <v>168</v>
      </c>
      <c r="D40" s="9" t="s">
        <v>139</v>
      </c>
      <c r="E40" s="16" t="s">
        <v>139</v>
      </c>
      <c r="F40" s="16" t="s">
        <v>169</v>
      </c>
      <c r="H40" s="39"/>
      <c r="I40" s="9"/>
      <c r="J40" s="17" t="s">
        <v>170</v>
      </c>
      <c r="N40" s="12">
        <f>B40*B60</f>
        <v>1.2E-4</v>
      </c>
      <c r="W40" s="38" t="s">
        <v>171</v>
      </c>
      <c r="X40" s="13">
        <f>0.001*0.04</f>
        <v>4.0000000000000003E-5</v>
      </c>
      <c r="Y40" s="13">
        <f>0.001*0.146</f>
        <v>1.46E-4</v>
      </c>
      <c r="Z40" s="13">
        <f>0.001*0.078</f>
        <v>7.7999999999999999E-5</v>
      </c>
    </row>
    <row r="41" spans="1:26" ht="29">
      <c r="A41" s="14" t="s">
        <v>172</v>
      </c>
      <c r="B41" s="15">
        <v>1</v>
      </c>
      <c r="C41" s="16" t="s">
        <v>173</v>
      </c>
      <c r="D41" s="9" t="s">
        <v>139</v>
      </c>
      <c r="E41" s="16" t="s">
        <v>139</v>
      </c>
      <c r="F41" s="16" t="s">
        <v>174</v>
      </c>
      <c r="H41" s="13"/>
      <c r="I41" s="19"/>
      <c r="J41" s="17" t="s">
        <v>175</v>
      </c>
      <c r="N41" s="12">
        <f>B41*B60</f>
        <v>1.2E-4</v>
      </c>
      <c r="W41" s="38" t="s">
        <v>176</v>
      </c>
      <c r="X41" s="13">
        <f>0.001*0.12</f>
        <v>1.2E-4</v>
      </c>
      <c r="Y41" s="13">
        <f>0.001*0.611</f>
        <v>6.11E-4</v>
      </c>
      <c r="Z41" s="13">
        <f>0.001*0.33</f>
        <v>3.3E-4</v>
      </c>
    </row>
    <row r="42" spans="1:26" ht="15.5">
      <c r="A42" s="14" t="s">
        <v>177</v>
      </c>
      <c r="B42" s="15">
        <v>1</v>
      </c>
      <c r="C42" s="16" t="s">
        <v>178</v>
      </c>
      <c r="D42" s="9" t="s">
        <v>139</v>
      </c>
      <c r="E42" s="16" t="s">
        <v>139</v>
      </c>
      <c r="F42" s="16" t="s">
        <v>179</v>
      </c>
      <c r="H42" s="11"/>
      <c r="I42" s="9"/>
      <c r="J42" s="17" t="s">
        <v>180</v>
      </c>
      <c r="N42" s="12">
        <f>B42*B60</f>
        <v>1.2E-4</v>
      </c>
      <c r="W42" s="38" t="s">
        <v>181</v>
      </c>
      <c r="X42" s="13">
        <f>0.001*0.6</f>
        <v>5.9999999999999995E-4</v>
      </c>
      <c r="Y42" s="13">
        <f>0.001*1.067</f>
        <v>1.067E-3</v>
      </c>
      <c r="Z42" s="13">
        <f>0.001*1.358</f>
        <v>1.358E-3</v>
      </c>
    </row>
    <row r="43" spans="1:26" ht="14.5">
      <c r="A43" s="14" t="s">
        <v>182</v>
      </c>
      <c r="B43" s="15">
        <v>1</v>
      </c>
      <c r="C43" s="16" t="s">
        <v>183</v>
      </c>
      <c r="D43" s="9" t="s">
        <v>139</v>
      </c>
      <c r="E43" s="16" t="s">
        <v>139</v>
      </c>
      <c r="F43" s="16" t="s">
        <v>184</v>
      </c>
      <c r="H43" s="35"/>
      <c r="I43" s="36"/>
      <c r="J43" s="17" t="s">
        <v>185</v>
      </c>
      <c r="N43" s="12">
        <f>B43*B60</f>
        <v>1.2E-4</v>
      </c>
    </row>
    <row r="44" spans="1:26" ht="14.5">
      <c r="A44" s="14" t="s">
        <v>186</v>
      </c>
      <c r="B44" s="15">
        <v>1</v>
      </c>
      <c r="C44" s="16" t="s">
        <v>146</v>
      </c>
      <c r="D44" s="9" t="s">
        <v>139</v>
      </c>
      <c r="E44" s="16" t="s">
        <v>139</v>
      </c>
      <c r="F44" s="16" t="s">
        <v>147</v>
      </c>
      <c r="H44" s="35"/>
      <c r="I44" s="36"/>
      <c r="J44" s="17"/>
      <c r="N44" s="12">
        <f>B44*B60</f>
        <v>1.2E-4</v>
      </c>
    </row>
    <row r="45" spans="1:26" ht="14.5">
      <c r="A45" s="14" t="s">
        <v>187</v>
      </c>
      <c r="B45" s="15">
        <v>1</v>
      </c>
      <c r="C45" s="16" t="s">
        <v>188</v>
      </c>
      <c r="D45" s="9" t="s">
        <v>189</v>
      </c>
      <c r="E45" s="14" t="s">
        <v>190</v>
      </c>
      <c r="F45" s="16" t="s">
        <v>191</v>
      </c>
      <c r="H45" s="35">
        <f>12 * 10 * 1.7 / 1000 * 7.31 * 0.03527396</f>
        <v>5.2601940110399995E-2</v>
      </c>
      <c r="I45" s="40">
        <f t="shared" ref="I45:I49" si="3">CONVERT(H45, "ozm", "kg")</f>
        <v>1.4912399175796497E-3</v>
      </c>
      <c r="J45" s="17"/>
      <c r="N45" s="12">
        <f>I45*[1]Results!BA13</f>
        <v>1.5055998499695512E-2</v>
      </c>
    </row>
    <row r="46" spans="1:26" ht="43.5">
      <c r="A46" s="14" t="s">
        <v>192</v>
      </c>
      <c r="B46" s="15">
        <v>1</v>
      </c>
      <c r="C46" s="16" t="s">
        <v>193</v>
      </c>
      <c r="D46" s="16" t="s">
        <v>194</v>
      </c>
      <c r="E46" s="16" t="s">
        <v>194</v>
      </c>
      <c r="F46" s="16" t="s">
        <v>195</v>
      </c>
      <c r="H46" s="26">
        <v>2.3598000000000001E-2</v>
      </c>
      <c r="I46" s="9">
        <f t="shared" si="3"/>
        <v>6.6899204670375001E-4</v>
      </c>
      <c r="J46" s="27" t="s">
        <v>196</v>
      </c>
      <c r="N46" s="12">
        <f>I46*[1]Results!BA6</f>
        <v>4.2480994965688128E-2</v>
      </c>
    </row>
    <row r="47" spans="1:26" ht="29">
      <c r="A47" s="14" t="s">
        <v>197</v>
      </c>
      <c r="B47" s="31">
        <v>6</v>
      </c>
      <c r="C47" s="16" t="s">
        <v>198</v>
      </c>
      <c r="D47" s="28" t="s">
        <v>116</v>
      </c>
      <c r="E47" s="16" t="s">
        <v>111</v>
      </c>
      <c r="F47" s="16" t="s">
        <v>199</v>
      </c>
      <c r="H47" s="41">
        <v>4.3150000000000003E-3</v>
      </c>
      <c r="I47" s="10">
        <f t="shared" si="3"/>
        <v>1.2232819228437503E-4</v>
      </c>
      <c r="J47" s="17" t="s">
        <v>200</v>
      </c>
      <c r="N47" s="12">
        <f>I47*B47*[1]Results!BA16</f>
        <v>5.227754978087553E-3</v>
      </c>
    </row>
    <row r="48" spans="1:26" ht="16.5" customHeight="1">
      <c r="A48" s="16" t="s">
        <v>201</v>
      </c>
      <c r="B48" s="15">
        <v>1</v>
      </c>
      <c r="C48" s="16" t="s">
        <v>202</v>
      </c>
      <c r="D48" t="s">
        <v>18</v>
      </c>
      <c r="E48" s="16" t="s">
        <v>203</v>
      </c>
      <c r="F48" s="16" t="s">
        <v>204</v>
      </c>
      <c r="H48" s="26">
        <v>4.9399999999999997E-4</v>
      </c>
      <c r="I48" s="9">
        <f t="shared" si="3"/>
        <v>1.400466442375E-5</v>
      </c>
      <c r="J48" s="27" t="s">
        <v>205</v>
      </c>
      <c r="N48" s="12">
        <f>I48*[1]Results!BA5</f>
        <v>1.6945643952737501E-3</v>
      </c>
    </row>
    <row r="49" spans="1:30" ht="16.5" customHeight="1">
      <c r="A49" s="16" t="s">
        <v>206</v>
      </c>
      <c r="B49" s="15">
        <v>1</v>
      </c>
      <c r="C49" s="16" t="s">
        <v>207</v>
      </c>
      <c r="D49" t="s">
        <v>18</v>
      </c>
      <c r="E49" s="16" t="s">
        <v>203</v>
      </c>
      <c r="F49" s="16" t="s">
        <v>208</v>
      </c>
      <c r="H49" s="26">
        <v>5.3179999999999998E-3</v>
      </c>
      <c r="I49" s="9">
        <f t="shared" si="3"/>
        <v>1.5076276397875E-4</v>
      </c>
      <c r="J49" s="27" t="s">
        <v>209</v>
      </c>
      <c r="N49" s="12">
        <f>I49*[1]Results!BA5</f>
        <v>1.824229444142875E-2</v>
      </c>
    </row>
    <row r="50" spans="1:30" ht="16.5" customHeight="1">
      <c r="J50" s="10"/>
      <c r="N50" s="42"/>
    </row>
    <row r="51" spans="1:30" ht="15.75" customHeight="1">
      <c r="F51" s="9" t="s">
        <v>210</v>
      </c>
      <c r="J51" s="10"/>
      <c r="N51" s="42"/>
    </row>
    <row r="52" spans="1:30" ht="14.5">
      <c r="J52" s="10"/>
      <c r="N52" s="42"/>
    </row>
    <row r="53" spans="1:30" ht="14.5">
      <c r="J53" s="10"/>
      <c r="N53" s="42"/>
    </row>
    <row r="54" spans="1:30" ht="14.5">
      <c r="A54" s="42"/>
      <c r="B54" s="42"/>
      <c r="C54" s="43"/>
      <c r="D54" s="42"/>
      <c r="E54" s="42"/>
      <c r="F54" s="42"/>
      <c r="G54" s="42"/>
      <c r="H54" s="42"/>
      <c r="I54" s="42"/>
      <c r="J54" s="43"/>
      <c r="K54" s="42"/>
      <c r="L54" s="42"/>
      <c r="M54" s="42"/>
      <c r="N54" s="44">
        <f>SUM(N2:N51)</f>
        <v>0.25672286237847325</v>
      </c>
      <c r="O54" s="44">
        <f>N54-N27-N25</f>
        <v>0.2495354236421502</v>
      </c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</row>
    <row r="55" spans="1:30" ht="14.5">
      <c r="C55" s="10"/>
      <c r="J55" s="10"/>
      <c r="N55" s="12"/>
    </row>
    <row r="56" spans="1:30" ht="14.5">
      <c r="C56" s="10"/>
      <c r="H56" s="35"/>
      <c r="I56" s="45"/>
      <c r="J56" s="46"/>
      <c r="N56" s="12"/>
      <c r="O56" s="47">
        <f>(N3/N54)/100</f>
        <v>1.0604208826006545E-3</v>
      </c>
    </row>
    <row r="57" spans="1:30" ht="15.5">
      <c r="A57" s="8" t="s">
        <v>211</v>
      </c>
      <c r="B57" s="8" t="s">
        <v>212</v>
      </c>
      <c r="C57" s="8" t="s">
        <v>38</v>
      </c>
      <c r="D57" s="8" t="s">
        <v>213</v>
      </c>
      <c r="H57" s="33" t="s">
        <v>214</v>
      </c>
      <c r="I57" s="48"/>
      <c r="J57" s="49"/>
      <c r="N57" s="12"/>
    </row>
    <row r="58" spans="1:30" ht="15.5">
      <c r="A58" s="38" t="s">
        <v>166</v>
      </c>
      <c r="B58" s="13">
        <f>0.001*0.01</f>
        <v>1.0000000000000001E-5</v>
      </c>
      <c r="C58" s="13">
        <f>0.001*0.036</f>
        <v>3.6000000000000001E-5</v>
      </c>
      <c r="D58" s="13">
        <f>0.001*0.022</f>
        <v>2.1999999999999999E-5</v>
      </c>
      <c r="H58" s="39">
        <f>0.006125*0.001</f>
        <v>6.1250000000000006E-6</v>
      </c>
      <c r="I58" s="45"/>
      <c r="J58" s="46"/>
      <c r="N58" s="12"/>
    </row>
    <row r="59" spans="1:30" ht="15.5">
      <c r="A59" s="38" t="s">
        <v>171</v>
      </c>
      <c r="B59" s="13">
        <f>0.001*0.04</f>
        <v>4.0000000000000003E-5</v>
      </c>
      <c r="C59" s="13">
        <f>0.001*0.146</f>
        <v>1.46E-4</v>
      </c>
      <c r="D59" s="13">
        <f>0.001*0.078</f>
        <v>7.7999999999999999E-5</v>
      </c>
      <c r="H59" s="13"/>
      <c r="I59" s="48"/>
      <c r="J59" s="49"/>
      <c r="N59" s="12"/>
    </row>
    <row r="60" spans="1:30" ht="15.5">
      <c r="A60" s="38" t="s">
        <v>176</v>
      </c>
      <c r="B60" s="13">
        <f>0.001*0.12</f>
        <v>1.2E-4</v>
      </c>
      <c r="C60" s="13">
        <f>0.001*0.611</f>
        <v>6.11E-4</v>
      </c>
      <c r="D60" s="13">
        <f>0.001*0.33</f>
        <v>3.3E-4</v>
      </c>
      <c r="H60" s="11"/>
      <c r="I60" s="19"/>
      <c r="J60" s="50"/>
      <c r="N60" s="12"/>
    </row>
    <row r="61" spans="1:30" ht="15.5">
      <c r="A61" s="38" t="s">
        <v>181</v>
      </c>
      <c r="B61" s="13">
        <f>0.001*0.6</f>
        <v>5.9999999999999995E-4</v>
      </c>
      <c r="C61" s="13">
        <f>0.001*1.067</f>
        <v>1.067E-3</v>
      </c>
      <c r="D61" s="13">
        <f>0.001*1.358</f>
        <v>1.358E-3</v>
      </c>
      <c r="H61" s="35"/>
      <c r="J61" s="10"/>
      <c r="N61" s="12"/>
    </row>
    <row r="62" spans="1:30" ht="14.5">
      <c r="C62" s="10"/>
      <c r="J62" s="10"/>
      <c r="N62" s="12"/>
    </row>
    <row r="63" spans="1:30" ht="14.5">
      <c r="C63" s="10"/>
      <c r="H63" s="11"/>
      <c r="I63" s="9"/>
      <c r="J63" s="10"/>
      <c r="N63" s="12"/>
    </row>
    <row r="64" spans="1:30" ht="14.5">
      <c r="C64" s="10"/>
      <c r="J64" s="10"/>
      <c r="N64" s="12"/>
    </row>
    <row r="65" spans="3:14" ht="14.5">
      <c r="C65" s="10"/>
      <c r="J65" s="10"/>
      <c r="N65" s="12"/>
    </row>
    <row r="66" spans="3:14" ht="14.5">
      <c r="C66" s="10"/>
      <c r="J66" s="10"/>
      <c r="N66" s="12"/>
    </row>
    <row r="67" spans="3:14" ht="14.5">
      <c r="C67" s="10"/>
      <c r="J67" s="10"/>
      <c r="N67" s="12"/>
    </row>
    <row r="68" spans="3:14" ht="14.5">
      <c r="C68" s="10"/>
      <c r="J68" s="10"/>
      <c r="N68" s="12"/>
    </row>
    <row r="69" spans="3:14" ht="14.5">
      <c r="C69" s="10"/>
      <c r="J69" s="10"/>
      <c r="N69" s="12"/>
    </row>
    <row r="70" spans="3:14" ht="14.5">
      <c r="C70" s="10"/>
      <c r="J70" s="10"/>
      <c r="N70" s="12"/>
    </row>
    <row r="71" spans="3:14" ht="14.5">
      <c r="C71" s="10"/>
      <c r="J71" s="10"/>
      <c r="N71" s="12"/>
    </row>
    <row r="72" spans="3:14" ht="14.5">
      <c r="C72" s="10"/>
      <c r="J72" s="10"/>
      <c r="N72" s="12"/>
    </row>
    <row r="73" spans="3:14" ht="14.5">
      <c r="C73" s="10"/>
      <c r="J73" s="10"/>
      <c r="N73" s="12"/>
    </row>
    <row r="74" spans="3:14" ht="14.5">
      <c r="C74" s="10"/>
      <c r="J74" s="10"/>
      <c r="N74" s="12"/>
    </row>
    <row r="75" spans="3:14" ht="14.5">
      <c r="C75" s="10"/>
      <c r="J75" s="10"/>
      <c r="N75" s="12"/>
    </row>
    <row r="76" spans="3:14" ht="14.5">
      <c r="C76" s="10"/>
      <c r="J76" s="10"/>
      <c r="N76" s="12"/>
    </row>
    <row r="77" spans="3:14" ht="14.5">
      <c r="C77" s="10"/>
      <c r="J77" s="10"/>
      <c r="N77" s="12"/>
    </row>
    <row r="78" spans="3:14" ht="14.5">
      <c r="C78" s="10"/>
      <c r="J78" s="10"/>
      <c r="N78" s="12"/>
    </row>
    <row r="79" spans="3:14" ht="14.5">
      <c r="C79" s="10"/>
      <c r="J79" s="10"/>
      <c r="N79" s="12"/>
    </row>
    <row r="80" spans="3:14" ht="14.5">
      <c r="C80" s="10"/>
      <c r="J80" s="10"/>
      <c r="N80" s="12"/>
    </row>
    <row r="81" spans="3:14" ht="14.5">
      <c r="C81" s="10"/>
      <c r="J81" s="10"/>
      <c r="N81" s="12"/>
    </row>
    <row r="82" spans="3:14" ht="14.5">
      <c r="C82" s="10"/>
      <c r="J82" s="10"/>
      <c r="N82" s="12"/>
    </row>
    <row r="83" spans="3:14" ht="14.5">
      <c r="C83" s="10"/>
      <c r="J83" s="10"/>
      <c r="N83" s="12"/>
    </row>
    <row r="84" spans="3:14" ht="14.5">
      <c r="C84" s="10"/>
      <c r="J84" s="10"/>
      <c r="N84" s="12"/>
    </row>
    <row r="85" spans="3:14" ht="14.5">
      <c r="C85" s="10"/>
      <c r="J85" s="10"/>
      <c r="N85" s="12"/>
    </row>
    <row r="86" spans="3:14" ht="14.5">
      <c r="C86" s="10"/>
      <c r="J86" s="10"/>
      <c r="N86" s="12"/>
    </row>
    <row r="87" spans="3:14" ht="14.5">
      <c r="C87" s="10"/>
      <c r="J87" s="10"/>
      <c r="N87" s="12"/>
    </row>
    <row r="88" spans="3:14" ht="14.5">
      <c r="C88" s="10"/>
      <c r="J88" s="10"/>
      <c r="N88" s="12"/>
    </row>
    <row r="89" spans="3:14" ht="14.5">
      <c r="C89" s="10"/>
      <c r="J89" s="10"/>
      <c r="N89" s="12"/>
    </row>
    <row r="90" spans="3:14" ht="14.5">
      <c r="C90" s="10"/>
      <c r="J90" s="10"/>
      <c r="N90" s="12"/>
    </row>
    <row r="91" spans="3:14" ht="14.5">
      <c r="C91" s="10"/>
      <c r="J91" s="10"/>
      <c r="N91" s="12"/>
    </row>
    <row r="92" spans="3:14" ht="14.5">
      <c r="C92" s="10"/>
      <c r="J92" s="10"/>
      <c r="N92" s="12"/>
    </row>
    <row r="93" spans="3:14" ht="14.5">
      <c r="C93" s="10"/>
      <c r="J93" s="10"/>
      <c r="N93" s="12"/>
    </row>
    <row r="94" spans="3:14" ht="14.5">
      <c r="C94" s="10"/>
      <c r="J94" s="10"/>
      <c r="N94" s="12"/>
    </row>
    <row r="95" spans="3:14" ht="14.5">
      <c r="C95" s="10"/>
      <c r="J95" s="10"/>
      <c r="N95" s="12"/>
    </row>
    <row r="96" spans="3:14" ht="14.5">
      <c r="C96" s="10"/>
      <c r="J96" s="10"/>
      <c r="N96" s="12"/>
    </row>
    <row r="97" spans="3:14" ht="14.5">
      <c r="C97" s="10"/>
      <c r="J97" s="10"/>
      <c r="N97" s="12"/>
    </row>
    <row r="98" spans="3:14" ht="14.5">
      <c r="C98" s="10"/>
      <c r="J98" s="10"/>
      <c r="N98" s="12"/>
    </row>
    <row r="99" spans="3:14" ht="14.5">
      <c r="C99" s="10"/>
      <c r="J99" s="10"/>
      <c r="N99" s="12"/>
    </row>
    <row r="100" spans="3:14" ht="14.5">
      <c r="C100" s="10"/>
      <c r="J100" s="10"/>
      <c r="N100" s="12"/>
    </row>
    <row r="101" spans="3:14" ht="14.5">
      <c r="C101" s="10"/>
      <c r="J101" s="10"/>
      <c r="N101" s="12"/>
    </row>
    <row r="102" spans="3:14" ht="14.5">
      <c r="C102" s="10"/>
      <c r="J102" s="10"/>
      <c r="N102" s="12"/>
    </row>
    <row r="103" spans="3:14" ht="14.5">
      <c r="C103" s="10"/>
      <c r="J103" s="10"/>
      <c r="N103" s="12"/>
    </row>
    <row r="104" spans="3:14" ht="14.5">
      <c r="C104" s="10"/>
      <c r="J104" s="10"/>
      <c r="N104" s="12"/>
    </row>
    <row r="105" spans="3:14" ht="14.5">
      <c r="C105" s="10"/>
      <c r="J105" s="10"/>
      <c r="N105" s="12"/>
    </row>
    <row r="106" spans="3:14" ht="14.5">
      <c r="C106" s="10"/>
      <c r="J106" s="10"/>
      <c r="N106" s="12"/>
    </row>
    <row r="107" spans="3:14" ht="14.5">
      <c r="C107" s="10"/>
      <c r="J107" s="10"/>
      <c r="N107" s="12"/>
    </row>
    <row r="108" spans="3:14" ht="14.5">
      <c r="C108" s="10"/>
      <c r="J108" s="10"/>
      <c r="N108" s="12"/>
    </row>
    <row r="109" spans="3:14" ht="14.5">
      <c r="C109" s="10"/>
      <c r="J109" s="10"/>
      <c r="N109" s="12"/>
    </row>
    <row r="110" spans="3:14" ht="14.5">
      <c r="C110" s="10"/>
      <c r="J110" s="10"/>
      <c r="N110" s="12"/>
    </row>
    <row r="111" spans="3:14" ht="14.5">
      <c r="C111" s="10"/>
      <c r="J111" s="10"/>
      <c r="N111" s="12"/>
    </row>
    <row r="112" spans="3:14" ht="14.5">
      <c r="C112" s="10"/>
      <c r="J112" s="10"/>
      <c r="N112" s="12"/>
    </row>
    <row r="113" spans="3:14" ht="14.5">
      <c r="C113" s="10"/>
      <c r="J113" s="10"/>
      <c r="N113" s="12"/>
    </row>
    <row r="114" spans="3:14" ht="14.5">
      <c r="C114" s="10"/>
      <c r="J114" s="10"/>
      <c r="N114" s="12"/>
    </row>
    <row r="115" spans="3:14" ht="14.5">
      <c r="C115" s="10"/>
      <c r="J115" s="10"/>
      <c r="N115" s="12"/>
    </row>
    <row r="116" spans="3:14" ht="14.5">
      <c r="C116" s="10"/>
      <c r="J116" s="10"/>
      <c r="N116" s="12"/>
    </row>
    <row r="117" spans="3:14" ht="14.5">
      <c r="C117" s="10"/>
      <c r="J117" s="10"/>
      <c r="N117" s="12"/>
    </row>
    <row r="118" spans="3:14" ht="14.5">
      <c r="C118" s="10"/>
      <c r="J118" s="10"/>
      <c r="N118" s="12"/>
    </row>
    <row r="119" spans="3:14" ht="14.5">
      <c r="C119" s="10"/>
      <c r="J119" s="10"/>
      <c r="N119" s="12"/>
    </row>
    <row r="120" spans="3:14" ht="14.5">
      <c r="C120" s="10"/>
      <c r="J120" s="10"/>
      <c r="N120" s="12"/>
    </row>
    <row r="121" spans="3:14" ht="14.5">
      <c r="C121" s="10"/>
      <c r="J121" s="10"/>
      <c r="N121" s="12"/>
    </row>
    <row r="122" spans="3:14" ht="14.5">
      <c r="C122" s="10"/>
      <c r="J122" s="10"/>
      <c r="N122" s="12"/>
    </row>
    <row r="123" spans="3:14" ht="14.5">
      <c r="C123" s="10"/>
      <c r="J123" s="10"/>
      <c r="N123" s="12"/>
    </row>
    <row r="124" spans="3:14" ht="14.5">
      <c r="C124" s="10"/>
      <c r="J124" s="10"/>
      <c r="N124" s="12"/>
    </row>
    <row r="125" spans="3:14" ht="14.5">
      <c r="C125" s="10"/>
      <c r="J125" s="10"/>
      <c r="N125" s="12"/>
    </row>
    <row r="126" spans="3:14" ht="14.5">
      <c r="C126" s="10"/>
      <c r="J126" s="10"/>
      <c r="N126" s="12"/>
    </row>
    <row r="127" spans="3:14" ht="14.5">
      <c r="C127" s="10"/>
      <c r="J127" s="10"/>
      <c r="N127" s="12"/>
    </row>
    <row r="128" spans="3:14" ht="14.5">
      <c r="C128" s="10"/>
      <c r="J128" s="10"/>
      <c r="N128" s="12"/>
    </row>
    <row r="129" spans="3:14" ht="14.5">
      <c r="C129" s="10"/>
      <c r="J129" s="10"/>
      <c r="N129" s="12"/>
    </row>
    <row r="130" spans="3:14" ht="14.5">
      <c r="C130" s="10"/>
      <c r="J130" s="10"/>
      <c r="N130" s="12"/>
    </row>
    <row r="131" spans="3:14" ht="14.5">
      <c r="C131" s="10"/>
      <c r="J131" s="10"/>
      <c r="N131" s="12"/>
    </row>
    <row r="132" spans="3:14" ht="14.5">
      <c r="C132" s="10"/>
      <c r="J132" s="10"/>
      <c r="N132" s="12"/>
    </row>
    <row r="133" spans="3:14" ht="14.5">
      <c r="C133" s="10"/>
      <c r="J133" s="10"/>
      <c r="N133" s="12"/>
    </row>
    <row r="134" spans="3:14" ht="14.5">
      <c r="C134" s="10"/>
      <c r="J134" s="10"/>
      <c r="N134" s="12"/>
    </row>
    <row r="135" spans="3:14" ht="14.5">
      <c r="C135" s="10"/>
      <c r="J135" s="10"/>
      <c r="N135" s="12"/>
    </row>
    <row r="136" spans="3:14" ht="14.5">
      <c r="C136" s="10"/>
      <c r="J136" s="10"/>
      <c r="N136" s="12"/>
    </row>
    <row r="137" spans="3:14" ht="14.5">
      <c r="C137" s="10"/>
      <c r="J137" s="10"/>
      <c r="N137" s="12"/>
    </row>
    <row r="138" spans="3:14" ht="14.5">
      <c r="C138" s="10"/>
      <c r="J138" s="10"/>
      <c r="N138" s="12"/>
    </row>
    <row r="139" spans="3:14" ht="14.5">
      <c r="C139" s="10"/>
      <c r="J139" s="10"/>
      <c r="N139" s="12"/>
    </row>
    <row r="140" spans="3:14" ht="14.5">
      <c r="C140" s="10"/>
      <c r="J140" s="10"/>
      <c r="N140" s="12"/>
    </row>
    <row r="141" spans="3:14" ht="14.5">
      <c r="C141" s="10"/>
      <c r="J141" s="10"/>
      <c r="N141" s="12"/>
    </row>
    <row r="142" spans="3:14" ht="14.5">
      <c r="C142" s="10"/>
      <c r="J142" s="10"/>
      <c r="N142" s="12"/>
    </row>
    <row r="143" spans="3:14" ht="14.5">
      <c r="C143" s="10"/>
      <c r="J143" s="10"/>
      <c r="N143" s="12"/>
    </row>
    <row r="144" spans="3:14" ht="14.5">
      <c r="C144" s="10"/>
      <c r="J144" s="10"/>
      <c r="N144" s="12"/>
    </row>
    <row r="145" spans="3:14" ht="14.5">
      <c r="C145" s="10"/>
      <c r="J145" s="10"/>
      <c r="N145" s="12"/>
    </row>
    <row r="146" spans="3:14" ht="14.5">
      <c r="C146" s="10"/>
      <c r="J146" s="10"/>
      <c r="N146" s="12"/>
    </row>
    <row r="147" spans="3:14" ht="14.5">
      <c r="C147" s="10"/>
      <c r="J147" s="10"/>
      <c r="N147" s="12"/>
    </row>
    <row r="148" spans="3:14" ht="14.5">
      <c r="C148" s="10"/>
      <c r="J148" s="10"/>
      <c r="N148" s="12"/>
    </row>
    <row r="149" spans="3:14" ht="14.5">
      <c r="C149" s="10"/>
      <c r="J149" s="10"/>
      <c r="N149" s="12"/>
    </row>
    <row r="150" spans="3:14" ht="14.5">
      <c r="C150" s="10"/>
      <c r="J150" s="10"/>
      <c r="N150" s="12"/>
    </row>
    <row r="151" spans="3:14" ht="14.5">
      <c r="C151" s="10"/>
      <c r="J151" s="10"/>
      <c r="N151" s="12"/>
    </row>
    <row r="152" spans="3:14" ht="14.5">
      <c r="C152" s="10"/>
      <c r="J152" s="10"/>
      <c r="N152" s="12"/>
    </row>
    <row r="153" spans="3:14" ht="14.5">
      <c r="C153" s="10"/>
      <c r="J153" s="10"/>
      <c r="N153" s="12"/>
    </row>
    <row r="154" spans="3:14" ht="14.5">
      <c r="C154" s="10"/>
      <c r="J154" s="10"/>
      <c r="N154" s="12"/>
    </row>
    <row r="155" spans="3:14" ht="14.5">
      <c r="C155" s="10"/>
      <c r="J155" s="10"/>
      <c r="N155" s="12"/>
    </row>
    <row r="156" spans="3:14" ht="14.5">
      <c r="C156" s="10"/>
      <c r="J156" s="10"/>
      <c r="N156" s="12"/>
    </row>
    <row r="157" spans="3:14" ht="14.5">
      <c r="C157" s="10"/>
      <c r="J157" s="10"/>
      <c r="N157" s="12"/>
    </row>
    <row r="158" spans="3:14" ht="14.5">
      <c r="C158" s="10"/>
      <c r="J158" s="10"/>
      <c r="N158" s="12"/>
    </row>
    <row r="159" spans="3:14" ht="14.5">
      <c r="C159" s="10"/>
      <c r="J159" s="10"/>
      <c r="N159" s="12"/>
    </row>
    <row r="160" spans="3:14" ht="14.5">
      <c r="C160" s="10"/>
      <c r="J160" s="10"/>
      <c r="N160" s="12"/>
    </row>
    <row r="161" spans="3:14" ht="14.5">
      <c r="C161" s="10"/>
      <c r="J161" s="10"/>
      <c r="N161" s="12"/>
    </row>
    <row r="162" spans="3:14" ht="14.5">
      <c r="C162" s="10"/>
      <c r="J162" s="10"/>
      <c r="N162" s="12"/>
    </row>
    <row r="163" spans="3:14" ht="14.5">
      <c r="C163" s="10"/>
      <c r="J163" s="10"/>
      <c r="N163" s="12"/>
    </row>
    <row r="164" spans="3:14" ht="14.5">
      <c r="C164" s="10"/>
      <c r="J164" s="10"/>
      <c r="N164" s="12"/>
    </row>
    <row r="165" spans="3:14" ht="14.5">
      <c r="C165" s="10"/>
      <c r="J165" s="10"/>
      <c r="N165" s="12"/>
    </row>
    <row r="166" spans="3:14" ht="14.5">
      <c r="C166" s="10"/>
      <c r="J166" s="10"/>
      <c r="N166" s="12"/>
    </row>
    <row r="167" spans="3:14" ht="14.5">
      <c r="C167" s="10"/>
      <c r="J167" s="10"/>
      <c r="N167" s="12"/>
    </row>
    <row r="168" spans="3:14" ht="14.5">
      <c r="C168" s="10"/>
      <c r="J168" s="10"/>
      <c r="N168" s="12"/>
    </row>
    <row r="169" spans="3:14" ht="14.5">
      <c r="C169" s="10"/>
      <c r="J169" s="10"/>
      <c r="N169" s="12"/>
    </row>
    <row r="170" spans="3:14" ht="14.5">
      <c r="C170" s="10"/>
      <c r="J170" s="10"/>
      <c r="N170" s="12"/>
    </row>
    <row r="171" spans="3:14" ht="14.5">
      <c r="C171" s="10"/>
      <c r="J171" s="10"/>
      <c r="N171" s="12"/>
    </row>
    <row r="172" spans="3:14" ht="14.5">
      <c r="C172" s="10"/>
      <c r="J172" s="10"/>
      <c r="N172" s="12"/>
    </row>
    <row r="173" spans="3:14" ht="14.5">
      <c r="C173" s="10"/>
      <c r="J173" s="10"/>
      <c r="N173" s="12"/>
    </row>
    <row r="174" spans="3:14" ht="14.5">
      <c r="C174" s="10"/>
      <c r="J174" s="10"/>
      <c r="N174" s="12"/>
    </row>
    <row r="175" spans="3:14" ht="14.5">
      <c r="C175" s="10"/>
      <c r="J175" s="10"/>
      <c r="N175" s="12"/>
    </row>
    <row r="176" spans="3:14" ht="14.5">
      <c r="C176" s="10"/>
      <c r="J176" s="10"/>
      <c r="N176" s="12"/>
    </row>
    <row r="177" spans="3:14" ht="14.5">
      <c r="C177" s="10"/>
      <c r="J177" s="10"/>
      <c r="N177" s="12"/>
    </row>
    <row r="178" spans="3:14" ht="14.5">
      <c r="C178" s="10"/>
      <c r="J178" s="10"/>
      <c r="N178" s="12"/>
    </row>
    <row r="179" spans="3:14" ht="14.5">
      <c r="C179" s="10"/>
      <c r="J179" s="10"/>
      <c r="N179" s="12"/>
    </row>
    <row r="180" spans="3:14" ht="14.5">
      <c r="C180" s="10"/>
      <c r="J180" s="10"/>
      <c r="N180" s="12"/>
    </row>
    <row r="181" spans="3:14" ht="14.5">
      <c r="C181" s="10"/>
      <c r="J181" s="10"/>
      <c r="N181" s="12"/>
    </row>
    <row r="182" spans="3:14" ht="14.5">
      <c r="C182" s="10"/>
      <c r="J182" s="10"/>
      <c r="N182" s="12"/>
    </row>
    <row r="183" spans="3:14" ht="14.5">
      <c r="C183" s="10"/>
      <c r="J183" s="10"/>
      <c r="N183" s="12"/>
    </row>
    <row r="184" spans="3:14" ht="14.5">
      <c r="C184" s="10"/>
      <c r="J184" s="10"/>
      <c r="N184" s="12"/>
    </row>
    <row r="185" spans="3:14" ht="14.5">
      <c r="C185" s="10"/>
      <c r="J185" s="10"/>
      <c r="N185" s="12"/>
    </row>
    <row r="186" spans="3:14" ht="14.5">
      <c r="C186" s="10"/>
      <c r="J186" s="10"/>
      <c r="N186" s="12"/>
    </row>
    <row r="187" spans="3:14" ht="14.5">
      <c r="C187" s="10"/>
      <c r="J187" s="10"/>
      <c r="N187" s="12"/>
    </row>
    <row r="188" spans="3:14" ht="14.5">
      <c r="C188" s="10"/>
      <c r="J188" s="10"/>
      <c r="N188" s="12"/>
    </row>
    <row r="189" spans="3:14" ht="14.5">
      <c r="C189" s="10"/>
      <c r="J189" s="10"/>
      <c r="N189" s="12"/>
    </row>
    <row r="190" spans="3:14" ht="14.5">
      <c r="C190" s="10"/>
      <c r="J190" s="10"/>
      <c r="N190" s="12"/>
    </row>
    <row r="191" spans="3:14" ht="14.5">
      <c r="C191" s="10"/>
      <c r="J191" s="10"/>
      <c r="N191" s="12"/>
    </row>
    <row r="192" spans="3:14" ht="14.5">
      <c r="C192" s="10"/>
      <c r="J192" s="10"/>
      <c r="N192" s="12"/>
    </row>
    <row r="193" spans="3:14" ht="14.5">
      <c r="C193" s="10"/>
      <c r="J193" s="10"/>
      <c r="N193" s="12"/>
    </row>
    <row r="194" spans="3:14" ht="14.5">
      <c r="C194" s="10"/>
      <c r="J194" s="10"/>
      <c r="N194" s="12"/>
    </row>
    <row r="195" spans="3:14" ht="14.5">
      <c r="C195" s="10"/>
      <c r="J195" s="10"/>
      <c r="N195" s="12"/>
    </row>
    <row r="196" spans="3:14" ht="14.5">
      <c r="C196" s="10"/>
      <c r="J196" s="10"/>
      <c r="N196" s="12"/>
    </row>
    <row r="197" spans="3:14" ht="14.5">
      <c r="C197" s="10"/>
      <c r="J197" s="10"/>
      <c r="N197" s="12"/>
    </row>
    <row r="198" spans="3:14" ht="14.5">
      <c r="C198" s="10"/>
      <c r="J198" s="10"/>
      <c r="N198" s="12"/>
    </row>
    <row r="199" spans="3:14" ht="14.5">
      <c r="C199" s="10"/>
      <c r="J199" s="10"/>
      <c r="N199" s="12"/>
    </row>
    <row r="200" spans="3:14" ht="14.5">
      <c r="C200" s="10"/>
      <c r="J200" s="10"/>
      <c r="N200" s="12"/>
    </row>
    <row r="201" spans="3:14" ht="14.5">
      <c r="C201" s="10"/>
      <c r="J201" s="10"/>
      <c r="N201" s="12"/>
    </row>
    <row r="202" spans="3:14" ht="14.5">
      <c r="C202" s="10"/>
      <c r="J202" s="10"/>
      <c r="N202" s="12"/>
    </row>
    <row r="203" spans="3:14" ht="14.5">
      <c r="C203" s="10"/>
      <c r="J203" s="10"/>
      <c r="N203" s="12"/>
    </row>
    <row r="204" spans="3:14" ht="14.5">
      <c r="C204" s="10"/>
      <c r="J204" s="10"/>
      <c r="N204" s="12"/>
    </row>
    <row r="205" spans="3:14" ht="14.5">
      <c r="C205" s="10"/>
      <c r="J205" s="10"/>
      <c r="N205" s="12"/>
    </row>
    <row r="206" spans="3:14" ht="14.5">
      <c r="C206" s="10"/>
      <c r="J206" s="10"/>
      <c r="N206" s="12"/>
    </row>
    <row r="207" spans="3:14" ht="14.5">
      <c r="C207" s="10"/>
      <c r="J207" s="10"/>
      <c r="N207" s="12"/>
    </row>
    <row r="208" spans="3:14" ht="14.5">
      <c r="C208" s="10"/>
      <c r="J208" s="10"/>
      <c r="N208" s="12"/>
    </row>
    <row r="209" spans="3:14" ht="14.5">
      <c r="C209" s="10"/>
      <c r="J209" s="10"/>
      <c r="N209" s="12"/>
    </row>
    <row r="210" spans="3:14" ht="14.5">
      <c r="C210" s="10"/>
      <c r="J210" s="10"/>
      <c r="N210" s="12"/>
    </row>
    <row r="211" spans="3:14" ht="14.5">
      <c r="C211" s="10"/>
      <c r="J211" s="10"/>
      <c r="N211" s="12"/>
    </row>
    <row r="212" spans="3:14" ht="14.5">
      <c r="C212" s="10"/>
      <c r="J212" s="10"/>
      <c r="N212" s="12"/>
    </row>
    <row r="213" spans="3:14" ht="14.5">
      <c r="C213" s="10"/>
      <c r="J213" s="10"/>
      <c r="N213" s="12"/>
    </row>
    <row r="214" spans="3:14" ht="14.5">
      <c r="C214" s="10"/>
      <c r="J214" s="10"/>
      <c r="N214" s="12"/>
    </row>
    <row r="215" spans="3:14" ht="14.5">
      <c r="C215" s="10"/>
      <c r="J215" s="10"/>
      <c r="N215" s="12"/>
    </row>
    <row r="216" spans="3:14" ht="14.5">
      <c r="C216" s="10"/>
      <c r="J216" s="10"/>
      <c r="N216" s="12"/>
    </row>
    <row r="217" spans="3:14" ht="14.5">
      <c r="C217" s="10"/>
      <c r="J217" s="10"/>
      <c r="N217" s="12"/>
    </row>
    <row r="218" spans="3:14" ht="14.5">
      <c r="C218" s="10"/>
      <c r="J218" s="10"/>
      <c r="N218" s="12"/>
    </row>
    <row r="219" spans="3:14" ht="14.5">
      <c r="C219" s="10"/>
      <c r="J219" s="10"/>
      <c r="N219" s="12"/>
    </row>
    <row r="220" spans="3:14" ht="14.5">
      <c r="C220" s="10"/>
      <c r="J220" s="10"/>
      <c r="N220" s="12"/>
    </row>
    <row r="221" spans="3:14" ht="14.5">
      <c r="C221" s="10"/>
      <c r="J221" s="10"/>
      <c r="N221" s="12"/>
    </row>
    <row r="222" spans="3:14" ht="14.5">
      <c r="C222" s="10"/>
      <c r="J222" s="10"/>
      <c r="N222" s="12"/>
    </row>
    <row r="223" spans="3:14" ht="14.5">
      <c r="C223" s="10"/>
      <c r="J223" s="10"/>
      <c r="N223" s="12"/>
    </row>
    <row r="224" spans="3:14" ht="14.5">
      <c r="C224" s="10"/>
      <c r="J224" s="10"/>
      <c r="N224" s="12"/>
    </row>
    <row r="225" spans="3:14" ht="14.5">
      <c r="C225" s="10"/>
      <c r="J225" s="10"/>
      <c r="N225" s="12"/>
    </row>
    <row r="226" spans="3:14" ht="14.5">
      <c r="C226" s="10"/>
      <c r="J226" s="10"/>
      <c r="N226" s="12"/>
    </row>
    <row r="227" spans="3:14" ht="14.5">
      <c r="C227" s="10"/>
      <c r="J227" s="10"/>
      <c r="N227" s="12"/>
    </row>
    <row r="228" spans="3:14" ht="14.5">
      <c r="C228" s="10"/>
      <c r="J228" s="10"/>
      <c r="N228" s="12"/>
    </row>
    <row r="229" spans="3:14" ht="14.5">
      <c r="C229" s="10"/>
      <c r="J229" s="10"/>
      <c r="N229" s="12"/>
    </row>
    <row r="230" spans="3:14" ht="14.5">
      <c r="C230" s="10"/>
      <c r="J230" s="10"/>
      <c r="N230" s="12"/>
    </row>
    <row r="231" spans="3:14" ht="14.5">
      <c r="C231" s="10"/>
      <c r="J231" s="10"/>
      <c r="N231" s="12"/>
    </row>
    <row r="232" spans="3:14" ht="14.5">
      <c r="C232" s="10"/>
      <c r="J232" s="10"/>
      <c r="N232" s="12"/>
    </row>
    <row r="233" spans="3:14" ht="14.5">
      <c r="C233" s="10"/>
      <c r="J233" s="10"/>
      <c r="N233" s="12"/>
    </row>
    <row r="234" spans="3:14" ht="14.5">
      <c r="C234" s="10"/>
      <c r="J234" s="10"/>
      <c r="N234" s="12"/>
    </row>
    <row r="235" spans="3:14" ht="14.5">
      <c r="C235" s="10"/>
      <c r="J235" s="10"/>
      <c r="N235" s="12"/>
    </row>
    <row r="236" spans="3:14" ht="14.5">
      <c r="C236" s="10"/>
      <c r="J236" s="10"/>
      <c r="N236" s="12"/>
    </row>
    <row r="237" spans="3:14" ht="14.5">
      <c r="C237" s="10"/>
      <c r="J237" s="10"/>
      <c r="N237" s="12"/>
    </row>
    <row r="238" spans="3:14" ht="14.5">
      <c r="C238" s="10"/>
      <c r="J238" s="10"/>
      <c r="N238" s="12"/>
    </row>
    <row r="239" spans="3:14" ht="14.5">
      <c r="C239" s="10"/>
      <c r="J239" s="10"/>
      <c r="N239" s="12"/>
    </row>
    <row r="240" spans="3:14" ht="14.5">
      <c r="C240" s="10"/>
      <c r="J240" s="10"/>
      <c r="N240" s="12"/>
    </row>
    <row r="241" spans="3:14" ht="14.5">
      <c r="C241" s="10"/>
      <c r="J241" s="10"/>
      <c r="N241" s="12"/>
    </row>
    <row r="242" spans="3:14" ht="14.5">
      <c r="C242" s="10"/>
      <c r="J242" s="10"/>
      <c r="N242" s="12"/>
    </row>
    <row r="243" spans="3:14" ht="14.5">
      <c r="C243" s="10"/>
      <c r="J243" s="10"/>
      <c r="N243" s="12"/>
    </row>
    <row r="244" spans="3:14" ht="14.5">
      <c r="C244" s="10"/>
      <c r="J244" s="10"/>
      <c r="N244" s="12"/>
    </row>
    <row r="245" spans="3:14" ht="14.5">
      <c r="C245" s="10"/>
      <c r="J245" s="10"/>
      <c r="N245" s="12"/>
    </row>
    <row r="246" spans="3:14" ht="14.5">
      <c r="C246" s="10"/>
      <c r="J246" s="10"/>
      <c r="N246" s="12"/>
    </row>
    <row r="247" spans="3:14" ht="14.5">
      <c r="C247" s="10"/>
      <c r="J247" s="10"/>
      <c r="N247" s="12"/>
    </row>
    <row r="248" spans="3:14" ht="14.5">
      <c r="C248" s="10"/>
      <c r="J248" s="10"/>
      <c r="N248" s="12"/>
    </row>
    <row r="249" spans="3:14" ht="14.5">
      <c r="C249" s="10"/>
      <c r="J249" s="10"/>
      <c r="N249" s="12"/>
    </row>
    <row r="250" spans="3:14" ht="14.5">
      <c r="C250" s="10"/>
      <c r="J250" s="10"/>
      <c r="N250" s="12"/>
    </row>
    <row r="251" spans="3:14" ht="14.5">
      <c r="C251" s="10"/>
      <c r="J251" s="10"/>
      <c r="N251" s="12"/>
    </row>
    <row r="252" spans="3:14" ht="14.5">
      <c r="C252" s="10"/>
      <c r="J252" s="10"/>
      <c r="N252" s="12"/>
    </row>
    <row r="253" spans="3:14" ht="14.5">
      <c r="C253" s="10"/>
      <c r="J253" s="10"/>
      <c r="N253" s="12"/>
    </row>
    <row r="254" spans="3:14" ht="14.5">
      <c r="C254" s="10"/>
      <c r="J254" s="10"/>
      <c r="N254" s="12"/>
    </row>
    <row r="255" spans="3:14" ht="14.5">
      <c r="C255" s="10"/>
      <c r="J255" s="10"/>
      <c r="N255" s="12"/>
    </row>
    <row r="256" spans="3:14" ht="14.5">
      <c r="C256" s="10"/>
      <c r="J256" s="10"/>
      <c r="N256" s="12"/>
    </row>
    <row r="257" spans="3:14" ht="14.5">
      <c r="C257" s="10"/>
      <c r="J257" s="10"/>
      <c r="N257" s="12"/>
    </row>
    <row r="258" spans="3:14" ht="14.5">
      <c r="C258" s="10"/>
      <c r="J258" s="10"/>
      <c r="N258" s="12"/>
    </row>
    <row r="259" spans="3:14" ht="14.5">
      <c r="C259" s="10"/>
      <c r="J259" s="10"/>
      <c r="N259" s="12"/>
    </row>
    <row r="260" spans="3:14" ht="14.5">
      <c r="C260" s="10"/>
      <c r="J260" s="10"/>
      <c r="N260" s="12"/>
    </row>
    <row r="261" spans="3:14" ht="14.5">
      <c r="C261" s="10"/>
      <c r="J261" s="10"/>
      <c r="N261" s="12"/>
    </row>
    <row r="262" spans="3:14" ht="14.5">
      <c r="C262" s="10"/>
      <c r="J262" s="10"/>
      <c r="N262" s="12"/>
    </row>
    <row r="263" spans="3:14" ht="14.5">
      <c r="C263" s="10"/>
      <c r="J263" s="10"/>
      <c r="N263" s="12"/>
    </row>
    <row r="264" spans="3:14" ht="14.5">
      <c r="C264" s="10"/>
      <c r="J264" s="10"/>
      <c r="N264" s="12"/>
    </row>
    <row r="265" spans="3:14" ht="14.5">
      <c r="C265" s="10"/>
      <c r="J265" s="10"/>
      <c r="N265" s="12"/>
    </row>
    <row r="266" spans="3:14" ht="14.5">
      <c r="C266" s="10"/>
      <c r="J266" s="10"/>
      <c r="N266" s="12"/>
    </row>
    <row r="267" spans="3:14" ht="14.5">
      <c r="C267" s="10"/>
      <c r="J267" s="10"/>
      <c r="N267" s="12"/>
    </row>
    <row r="268" spans="3:14" ht="14.5">
      <c r="C268" s="10"/>
      <c r="J268" s="10"/>
      <c r="N268" s="12"/>
    </row>
    <row r="269" spans="3:14" ht="14.5">
      <c r="C269" s="10"/>
      <c r="J269" s="10"/>
      <c r="N269" s="12"/>
    </row>
    <row r="270" spans="3:14" ht="14.5">
      <c r="C270" s="10"/>
      <c r="J270" s="10"/>
      <c r="N270" s="12"/>
    </row>
    <row r="271" spans="3:14" ht="14.5">
      <c r="C271" s="10"/>
      <c r="J271" s="10"/>
      <c r="N271" s="12"/>
    </row>
    <row r="272" spans="3:14" ht="14.5">
      <c r="C272" s="10"/>
      <c r="J272" s="10"/>
      <c r="N272" s="12"/>
    </row>
    <row r="273" spans="3:14" ht="14.5">
      <c r="C273" s="10"/>
      <c r="J273" s="10"/>
      <c r="N273" s="12"/>
    </row>
    <row r="274" spans="3:14" ht="14.5">
      <c r="C274" s="10"/>
      <c r="J274" s="10"/>
      <c r="N274" s="12"/>
    </row>
    <row r="275" spans="3:14" ht="14.5">
      <c r="C275" s="10"/>
      <c r="J275" s="10"/>
      <c r="N275" s="12"/>
    </row>
    <row r="276" spans="3:14" ht="14.5">
      <c r="C276" s="10"/>
      <c r="J276" s="10"/>
      <c r="N276" s="12"/>
    </row>
    <row r="277" spans="3:14" ht="14.5">
      <c r="C277" s="10"/>
      <c r="J277" s="10"/>
      <c r="N277" s="12"/>
    </row>
    <row r="278" spans="3:14" ht="14.5">
      <c r="C278" s="10"/>
      <c r="J278" s="10"/>
      <c r="N278" s="12"/>
    </row>
    <row r="279" spans="3:14" ht="14.5">
      <c r="C279" s="10"/>
      <c r="J279" s="10"/>
      <c r="N279" s="12"/>
    </row>
    <row r="280" spans="3:14" ht="14.5">
      <c r="C280" s="10"/>
      <c r="J280" s="10"/>
      <c r="N280" s="12"/>
    </row>
    <row r="281" spans="3:14" ht="14.5">
      <c r="C281" s="10"/>
      <c r="J281" s="10"/>
      <c r="N281" s="12"/>
    </row>
    <row r="282" spans="3:14" ht="14.5">
      <c r="C282" s="10"/>
      <c r="J282" s="10"/>
      <c r="N282" s="12"/>
    </row>
    <row r="283" spans="3:14" ht="14.5">
      <c r="C283" s="10"/>
      <c r="J283" s="10"/>
      <c r="N283" s="12"/>
    </row>
    <row r="284" spans="3:14" ht="14.5">
      <c r="C284" s="10"/>
      <c r="J284" s="10"/>
      <c r="N284" s="12"/>
    </row>
    <row r="285" spans="3:14" ht="14.5">
      <c r="C285" s="10"/>
      <c r="J285" s="10"/>
      <c r="N285" s="12"/>
    </row>
    <row r="286" spans="3:14" ht="14.5">
      <c r="C286" s="10"/>
      <c r="J286" s="10"/>
      <c r="N286" s="12"/>
    </row>
    <row r="287" spans="3:14" ht="14.5">
      <c r="C287" s="10"/>
      <c r="J287" s="10"/>
      <c r="N287" s="12"/>
    </row>
    <row r="288" spans="3:14" ht="14.5">
      <c r="C288" s="10"/>
      <c r="J288" s="10"/>
      <c r="N288" s="12"/>
    </row>
    <row r="289" spans="3:14" ht="14.5">
      <c r="C289" s="10"/>
      <c r="J289" s="10"/>
      <c r="N289" s="12"/>
    </row>
    <row r="290" spans="3:14" ht="14.5">
      <c r="C290" s="10"/>
      <c r="J290" s="10"/>
      <c r="N290" s="12"/>
    </row>
    <row r="291" spans="3:14" ht="14.5">
      <c r="C291" s="10"/>
      <c r="J291" s="10"/>
      <c r="N291" s="12"/>
    </row>
    <row r="292" spans="3:14" ht="14.5">
      <c r="C292" s="10"/>
      <c r="J292" s="10"/>
      <c r="N292" s="12"/>
    </row>
    <row r="293" spans="3:14" ht="14.5">
      <c r="C293" s="10"/>
      <c r="J293" s="10"/>
      <c r="N293" s="12"/>
    </row>
    <row r="294" spans="3:14" ht="14.5">
      <c r="C294" s="10"/>
      <c r="J294" s="10"/>
      <c r="N294" s="12"/>
    </row>
    <row r="295" spans="3:14" ht="14.5">
      <c r="C295" s="10"/>
      <c r="J295" s="10"/>
      <c r="N295" s="12"/>
    </row>
    <row r="296" spans="3:14" ht="14.5">
      <c r="C296" s="10"/>
      <c r="J296" s="10"/>
      <c r="N296" s="12"/>
    </row>
    <row r="297" spans="3:14" ht="14.5">
      <c r="C297" s="10"/>
      <c r="J297" s="10"/>
      <c r="N297" s="12"/>
    </row>
    <row r="298" spans="3:14" ht="14.5">
      <c r="C298" s="10"/>
      <c r="J298" s="10"/>
      <c r="N298" s="12"/>
    </row>
    <row r="299" spans="3:14" ht="14.5">
      <c r="C299" s="10"/>
      <c r="J299" s="10"/>
      <c r="N299" s="12"/>
    </row>
    <row r="300" spans="3:14" ht="14.5">
      <c r="C300" s="10"/>
      <c r="J300" s="10"/>
      <c r="N300" s="12"/>
    </row>
    <row r="301" spans="3:14" ht="14.5">
      <c r="C301" s="10"/>
      <c r="J301" s="10"/>
      <c r="N301" s="12"/>
    </row>
    <row r="302" spans="3:14" ht="14.5">
      <c r="C302" s="10"/>
      <c r="J302" s="10"/>
      <c r="N302" s="12"/>
    </row>
    <row r="303" spans="3:14" ht="14.5">
      <c r="C303" s="10"/>
      <c r="J303" s="10"/>
      <c r="N303" s="12"/>
    </row>
    <row r="304" spans="3:14" ht="14.5">
      <c r="C304" s="10"/>
      <c r="J304" s="10"/>
      <c r="N304" s="12"/>
    </row>
    <row r="305" spans="3:14" ht="14.5">
      <c r="C305" s="10"/>
      <c r="J305" s="10"/>
      <c r="N305" s="12"/>
    </row>
    <row r="306" spans="3:14" ht="14.5">
      <c r="C306" s="10"/>
      <c r="J306" s="10"/>
      <c r="N306" s="12"/>
    </row>
    <row r="307" spans="3:14" ht="14.5">
      <c r="C307" s="10"/>
      <c r="J307" s="10"/>
      <c r="N307" s="12"/>
    </row>
    <row r="308" spans="3:14" ht="14.5">
      <c r="C308" s="10"/>
      <c r="J308" s="10"/>
      <c r="N308" s="12"/>
    </row>
    <row r="309" spans="3:14" ht="14.5">
      <c r="C309" s="10"/>
      <c r="J309" s="10"/>
      <c r="N309" s="12"/>
    </row>
    <row r="310" spans="3:14" ht="14.5">
      <c r="C310" s="10"/>
      <c r="J310" s="10"/>
      <c r="N310" s="12"/>
    </row>
    <row r="311" spans="3:14" ht="14.5">
      <c r="C311" s="10"/>
      <c r="J311" s="10"/>
      <c r="N311" s="12"/>
    </row>
    <row r="312" spans="3:14" ht="14.5">
      <c r="C312" s="10"/>
      <c r="J312" s="10"/>
      <c r="N312" s="12"/>
    </row>
    <row r="313" spans="3:14" ht="14.5">
      <c r="C313" s="10"/>
      <c r="J313" s="10"/>
      <c r="N313" s="12"/>
    </row>
    <row r="314" spans="3:14" ht="14.5">
      <c r="C314" s="10"/>
      <c r="J314" s="10"/>
      <c r="N314" s="12"/>
    </row>
    <row r="315" spans="3:14" ht="14.5">
      <c r="C315" s="10"/>
      <c r="J315" s="10"/>
      <c r="N315" s="12"/>
    </row>
    <row r="316" spans="3:14" ht="14.5">
      <c r="C316" s="10"/>
      <c r="J316" s="10"/>
      <c r="N316" s="12"/>
    </row>
    <row r="317" spans="3:14" ht="14.5">
      <c r="C317" s="10"/>
      <c r="J317" s="10"/>
      <c r="N317" s="12"/>
    </row>
    <row r="318" spans="3:14" ht="14.5">
      <c r="C318" s="10"/>
      <c r="J318" s="10"/>
      <c r="N318" s="12"/>
    </row>
    <row r="319" spans="3:14" ht="14.5">
      <c r="C319" s="10"/>
      <c r="J319" s="10"/>
      <c r="N319" s="12"/>
    </row>
    <row r="320" spans="3:14" ht="14.5">
      <c r="C320" s="10"/>
      <c r="J320" s="10"/>
      <c r="N320" s="12"/>
    </row>
    <row r="321" spans="3:14" ht="14.5">
      <c r="C321" s="10"/>
      <c r="J321" s="10"/>
      <c r="N321" s="12"/>
    </row>
    <row r="322" spans="3:14" ht="14.5">
      <c r="C322" s="10"/>
      <c r="J322" s="10"/>
      <c r="N322" s="12"/>
    </row>
    <row r="323" spans="3:14" ht="14.5">
      <c r="C323" s="10"/>
      <c r="J323" s="10"/>
      <c r="N323" s="12"/>
    </row>
    <row r="324" spans="3:14" ht="14.5">
      <c r="C324" s="10"/>
      <c r="J324" s="10"/>
      <c r="N324" s="12"/>
    </row>
    <row r="325" spans="3:14" ht="14.5">
      <c r="C325" s="10"/>
      <c r="J325" s="10"/>
      <c r="N325" s="12"/>
    </row>
    <row r="326" spans="3:14" ht="14.5">
      <c r="C326" s="10"/>
      <c r="J326" s="10"/>
      <c r="N326" s="12"/>
    </row>
    <row r="327" spans="3:14" ht="14.5">
      <c r="C327" s="10"/>
      <c r="J327" s="10"/>
      <c r="N327" s="12"/>
    </row>
    <row r="328" spans="3:14" ht="14.5">
      <c r="C328" s="10"/>
      <c r="J328" s="10"/>
      <c r="N328" s="12"/>
    </row>
    <row r="329" spans="3:14" ht="14.5">
      <c r="C329" s="10"/>
      <c r="J329" s="10"/>
      <c r="N329" s="12"/>
    </row>
    <row r="330" spans="3:14" ht="14.5">
      <c r="C330" s="10"/>
      <c r="J330" s="10"/>
      <c r="N330" s="12"/>
    </row>
    <row r="331" spans="3:14" ht="14.5">
      <c r="C331" s="10"/>
      <c r="J331" s="10"/>
      <c r="N331" s="12"/>
    </row>
    <row r="332" spans="3:14" ht="14.5">
      <c r="C332" s="10"/>
      <c r="J332" s="10"/>
      <c r="N332" s="12"/>
    </row>
    <row r="333" spans="3:14" ht="14.5">
      <c r="C333" s="10"/>
      <c r="J333" s="10"/>
      <c r="N333" s="12"/>
    </row>
    <row r="334" spans="3:14" ht="14.5">
      <c r="C334" s="10"/>
      <c r="J334" s="10"/>
      <c r="N334" s="12"/>
    </row>
    <row r="335" spans="3:14" ht="14.5">
      <c r="C335" s="10"/>
      <c r="J335" s="10"/>
      <c r="N335" s="12"/>
    </row>
    <row r="336" spans="3:14" ht="14.5">
      <c r="C336" s="10"/>
      <c r="J336" s="10"/>
      <c r="N336" s="12"/>
    </row>
    <row r="337" spans="3:14" ht="14.5">
      <c r="C337" s="10"/>
      <c r="J337" s="10"/>
      <c r="N337" s="12"/>
    </row>
    <row r="338" spans="3:14" ht="14.5">
      <c r="C338" s="10"/>
      <c r="J338" s="10"/>
      <c r="N338" s="12"/>
    </row>
    <row r="339" spans="3:14" ht="14.5">
      <c r="C339" s="10"/>
      <c r="J339" s="10"/>
      <c r="N339" s="12"/>
    </row>
    <row r="340" spans="3:14" ht="14.5">
      <c r="C340" s="10"/>
      <c r="J340" s="10"/>
      <c r="N340" s="12"/>
    </row>
    <row r="341" spans="3:14" ht="14.5">
      <c r="C341" s="10"/>
      <c r="J341" s="10"/>
      <c r="N341" s="12"/>
    </row>
    <row r="342" spans="3:14" ht="14.5">
      <c r="C342" s="10"/>
      <c r="J342" s="10"/>
      <c r="N342" s="12"/>
    </row>
    <row r="343" spans="3:14" ht="14.5">
      <c r="C343" s="10"/>
      <c r="J343" s="10"/>
      <c r="N343" s="12"/>
    </row>
    <row r="344" spans="3:14" ht="14.5">
      <c r="C344" s="10"/>
      <c r="J344" s="10"/>
      <c r="N344" s="12"/>
    </row>
    <row r="345" spans="3:14" ht="14.5">
      <c r="C345" s="10"/>
      <c r="J345" s="10"/>
      <c r="N345" s="12"/>
    </row>
    <row r="346" spans="3:14" ht="14.5">
      <c r="C346" s="10"/>
      <c r="J346" s="10"/>
      <c r="N346" s="12"/>
    </row>
    <row r="347" spans="3:14" ht="14.5">
      <c r="C347" s="10"/>
      <c r="J347" s="10"/>
      <c r="N347" s="12"/>
    </row>
    <row r="348" spans="3:14" ht="14.5">
      <c r="C348" s="10"/>
      <c r="J348" s="10"/>
      <c r="N348" s="12"/>
    </row>
    <row r="349" spans="3:14" ht="14.5">
      <c r="C349" s="10"/>
      <c r="J349" s="10"/>
      <c r="N349" s="12"/>
    </row>
    <row r="350" spans="3:14" ht="14.5">
      <c r="C350" s="10"/>
      <c r="J350" s="10"/>
      <c r="N350" s="12"/>
    </row>
    <row r="351" spans="3:14" ht="14.5">
      <c r="C351" s="10"/>
      <c r="J351" s="10"/>
      <c r="N351" s="12"/>
    </row>
    <row r="352" spans="3:14" ht="14.5">
      <c r="C352" s="10"/>
      <c r="J352" s="10"/>
      <c r="N352" s="12"/>
    </row>
    <row r="353" spans="3:14" ht="14.5">
      <c r="C353" s="10"/>
      <c r="J353" s="10"/>
      <c r="N353" s="12"/>
    </row>
    <row r="354" spans="3:14" ht="14.5">
      <c r="C354" s="10"/>
      <c r="J354" s="10"/>
      <c r="N354" s="12"/>
    </row>
    <row r="355" spans="3:14" ht="14.5">
      <c r="C355" s="10"/>
      <c r="J355" s="10"/>
      <c r="N355" s="12"/>
    </row>
    <row r="356" spans="3:14" ht="14.5">
      <c r="C356" s="10"/>
      <c r="J356" s="10"/>
      <c r="N356" s="12"/>
    </row>
    <row r="357" spans="3:14" ht="14.5">
      <c r="C357" s="10"/>
      <c r="J357" s="10"/>
      <c r="N357" s="12"/>
    </row>
    <row r="358" spans="3:14" ht="14.5">
      <c r="C358" s="10"/>
      <c r="J358" s="10"/>
      <c r="N358" s="12"/>
    </row>
    <row r="359" spans="3:14" ht="14.5">
      <c r="C359" s="10"/>
      <c r="J359" s="10"/>
      <c r="N359" s="12"/>
    </row>
    <row r="360" spans="3:14" ht="14.5">
      <c r="C360" s="10"/>
      <c r="J360" s="10"/>
      <c r="N360" s="12"/>
    </row>
    <row r="361" spans="3:14" ht="14.5">
      <c r="C361" s="10"/>
      <c r="J361" s="10"/>
      <c r="N361" s="12"/>
    </row>
    <row r="362" spans="3:14" ht="14.5">
      <c r="C362" s="10"/>
      <c r="J362" s="10"/>
      <c r="N362" s="12"/>
    </row>
    <row r="363" spans="3:14" ht="14.5">
      <c r="C363" s="10"/>
      <c r="J363" s="10"/>
      <c r="N363" s="12"/>
    </row>
    <row r="364" spans="3:14" ht="14.5">
      <c r="C364" s="10"/>
      <c r="J364" s="10"/>
      <c r="N364" s="12"/>
    </row>
    <row r="365" spans="3:14" ht="14.5">
      <c r="C365" s="10"/>
      <c r="J365" s="10"/>
      <c r="N365" s="12"/>
    </row>
    <row r="366" spans="3:14" ht="14.5">
      <c r="C366" s="10"/>
      <c r="J366" s="10"/>
      <c r="N366" s="12"/>
    </row>
    <row r="367" spans="3:14" ht="14.5">
      <c r="C367" s="10"/>
      <c r="J367" s="10"/>
      <c r="N367" s="12"/>
    </row>
    <row r="368" spans="3:14" ht="14.5">
      <c r="C368" s="10"/>
      <c r="J368" s="10"/>
      <c r="N368" s="12"/>
    </row>
    <row r="369" spans="3:14" ht="14.5">
      <c r="C369" s="10"/>
      <c r="J369" s="10"/>
      <c r="N369" s="12"/>
    </row>
    <row r="370" spans="3:14" ht="14.5">
      <c r="C370" s="10"/>
      <c r="J370" s="10"/>
      <c r="N370" s="12"/>
    </row>
    <row r="371" spans="3:14" ht="14.5">
      <c r="C371" s="10"/>
      <c r="J371" s="10"/>
      <c r="N371" s="12"/>
    </row>
    <row r="372" spans="3:14" ht="14.5">
      <c r="C372" s="10"/>
      <c r="J372" s="10"/>
      <c r="N372" s="12"/>
    </row>
    <row r="373" spans="3:14" ht="14.5">
      <c r="C373" s="10"/>
      <c r="J373" s="10"/>
      <c r="N373" s="12"/>
    </row>
    <row r="374" spans="3:14" ht="14.5">
      <c r="C374" s="10"/>
      <c r="J374" s="10"/>
      <c r="N374" s="12"/>
    </row>
    <row r="375" spans="3:14" ht="14.5">
      <c r="C375" s="10"/>
      <c r="J375" s="10"/>
      <c r="N375" s="12"/>
    </row>
    <row r="376" spans="3:14" ht="14.5">
      <c r="C376" s="10"/>
      <c r="J376" s="10"/>
      <c r="N376" s="12"/>
    </row>
    <row r="377" spans="3:14" ht="14.5">
      <c r="C377" s="10"/>
      <c r="J377" s="10"/>
      <c r="N377" s="12"/>
    </row>
    <row r="378" spans="3:14" ht="14.5">
      <c r="C378" s="10"/>
      <c r="J378" s="10"/>
      <c r="N378" s="12"/>
    </row>
    <row r="379" spans="3:14" ht="14.5">
      <c r="C379" s="10"/>
      <c r="J379" s="10"/>
      <c r="N379" s="12"/>
    </row>
    <row r="380" spans="3:14" ht="14.5">
      <c r="C380" s="10"/>
      <c r="J380" s="10"/>
      <c r="N380" s="12"/>
    </row>
    <row r="381" spans="3:14" ht="14.5">
      <c r="C381" s="10"/>
      <c r="J381" s="10"/>
      <c r="N381" s="12"/>
    </row>
    <row r="382" spans="3:14" ht="14.5">
      <c r="C382" s="10"/>
      <c r="J382" s="10"/>
      <c r="N382" s="12"/>
    </row>
    <row r="383" spans="3:14" ht="14.5">
      <c r="C383" s="10"/>
      <c r="J383" s="10"/>
      <c r="N383" s="12"/>
    </row>
    <row r="384" spans="3:14" ht="14.5">
      <c r="C384" s="10"/>
      <c r="J384" s="10"/>
      <c r="N384" s="12"/>
    </row>
    <row r="385" spans="3:14" ht="14.5">
      <c r="C385" s="10"/>
      <c r="J385" s="10"/>
      <c r="N385" s="12"/>
    </row>
    <row r="386" spans="3:14" ht="14.5">
      <c r="C386" s="10"/>
      <c r="J386" s="10"/>
      <c r="N386" s="12"/>
    </row>
    <row r="387" spans="3:14" ht="14.5">
      <c r="C387" s="10"/>
      <c r="J387" s="10"/>
      <c r="N387" s="12"/>
    </row>
    <row r="388" spans="3:14" ht="14.5">
      <c r="C388" s="10"/>
      <c r="J388" s="10"/>
      <c r="N388" s="12"/>
    </row>
    <row r="389" spans="3:14" ht="14.5">
      <c r="C389" s="10"/>
      <c r="J389" s="10"/>
      <c r="N389" s="12"/>
    </row>
    <row r="390" spans="3:14" ht="14.5">
      <c r="C390" s="10"/>
      <c r="J390" s="10"/>
      <c r="N390" s="12"/>
    </row>
    <row r="391" spans="3:14" ht="14.5">
      <c r="C391" s="10"/>
      <c r="J391" s="10"/>
      <c r="N391" s="12"/>
    </row>
    <row r="392" spans="3:14" ht="14.5">
      <c r="C392" s="10"/>
      <c r="J392" s="10"/>
      <c r="N392" s="12"/>
    </row>
    <row r="393" spans="3:14" ht="14.5">
      <c r="C393" s="10"/>
      <c r="J393" s="10"/>
      <c r="N393" s="12"/>
    </row>
    <row r="394" spans="3:14" ht="14.5">
      <c r="C394" s="10"/>
      <c r="J394" s="10"/>
      <c r="N394" s="12"/>
    </row>
    <row r="395" spans="3:14" ht="14.5">
      <c r="C395" s="10"/>
      <c r="J395" s="10"/>
      <c r="N395" s="12"/>
    </row>
    <row r="396" spans="3:14" ht="14.5">
      <c r="C396" s="10"/>
      <c r="J396" s="10"/>
      <c r="N396" s="12"/>
    </row>
    <row r="397" spans="3:14" ht="14.5">
      <c r="C397" s="10"/>
      <c r="J397" s="10"/>
      <c r="N397" s="12"/>
    </row>
    <row r="398" spans="3:14" ht="14.5">
      <c r="C398" s="10"/>
      <c r="J398" s="10"/>
      <c r="N398" s="12"/>
    </row>
    <row r="399" spans="3:14" ht="14.5">
      <c r="C399" s="10"/>
      <c r="J399" s="10"/>
      <c r="N399" s="12"/>
    </row>
    <row r="400" spans="3:14" ht="14.5">
      <c r="C400" s="10"/>
      <c r="J400" s="10"/>
      <c r="N400" s="12"/>
    </row>
    <row r="401" spans="3:14" ht="14.5">
      <c r="C401" s="10"/>
      <c r="J401" s="10"/>
      <c r="N401" s="12"/>
    </row>
    <row r="402" spans="3:14" ht="14.5">
      <c r="C402" s="10"/>
      <c r="J402" s="10"/>
      <c r="N402" s="12"/>
    </row>
    <row r="403" spans="3:14" ht="14.5">
      <c r="C403" s="10"/>
      <c r="J403" s="10"/>
      <c r="N403" s="12"/>
    </row>
    <row r="404" spans="3:14" ht="14.5">
      <c r="C404" s="10"/>
      <c r="J404" s="10"/>
      <c r="N404" s="12"/>
    </row>
    <row r="405" spans="3:14" ht="14.5">
      <c r="C405" s="10"/>
      <c r="J405" s="10"/>
      <c r="N405" s="12"/>
    </row>
    <row r="406" spans="3:14" ht="14.5">
      <c r="C406" s="10"/>
      <c r="J406" s="10"/>
      <c r="N406" s="12"/>
    </row>
    <row r="407" spans="3:14" ht="14.5">
      <c r="C407" s="10"/>
      <c r="J407" s="10"/>
      <c r="N407" s="12"/>
    </row>
    <row r="408" spans="3:14" ht="14.5">
      <c r="C408" s="10"/>
      <c r="J408" s="10"/>
      <c r="N408" s="12"/>
    </row>
    <row r="409" spans="3:14" ht="14.5">
      <c r="C409" s="10"/>
      <c r="J409" s="10"/>
      <c r="N409" s="12"/>
    </row>
    <row r="410" spans="3:14" ht="14.5">
      <c r="C410" s="10"/>
      <c r="J410" s="10"/>
      <c r="N410" s="12"/>
    </row>
    <row r="411" spans="3:14" ht="14.5">
      <c r="C411" s="10"/>
      <c r="J411" s="10"/>
      <c r="N411" s="12"/>
    </row>
    <row r="412" spans="3:14" ht="14.5">
      <c r="C412" s="10"/>
      <c r="J412" s="10"/>
      <c r="N412" s="12"/>
    </row>
    <row r="413" spans="3:14" ht="14.5">
      <c r="C413" s="10"/>
      <c r="J413" s="10"/>
      <c r="N413" s="12"/>
    </row>
    <row r="414" spans="3:14" ht="14.5">
      <c r="C414" s="10"/>
      <c r="J414" s="10"/>
      <c r="N414" s="12"/>
    </row>
    <row r="415" spans="3:14" ht="14.5">
      <c r="C415" s="10"/>
      <c r="J415" s="10"/>
      <c r="N415" s="12"/>
    </row>
    <row r="416" spans="3:14" ht="14.5">
      <c r="C416" s="10"/>
      <c r="J416" s="10"/>
      <c r="N416" s="12"/>
    </row>
    <row r="417" spans="3:14" ht="14.5">
      <c r="C417" s="10"/>
      <c r="J417" s="10"/>
      <c r="N417" s="12"/>
    </row>
    <row r="418" spans="3:14" ht="14.5">
      <c r="C418" s="10"/>
      <c r="J418" s="10"/>
      <c r="N418" s="12"/>
    </row>
    <row r="419" spans="3:14" ht="14.5">
      <c r="C419" s="10"/>
      <c r="J419" s="10"/>
      <c r="N419" s="12"/>
    </row>
    <row r="420" spans="3:14" ht="14.5">
      <c r="C420" s="10"/>
      <c r="J420" s="10"/>
      <c r="N420" s="12"/>
    </row>
    <row r="421" spans="3:14" ht="14.5">
      <c r="C421" s="10"/>
      <c r="J421" s="10"/>
      <c r="N421" s="12"/>
    </row>
    <row r="422" spans="3:14" ht="14.5">
      <c r="C422" s="10"/>
      <c r="J422" s="10"/>
      <c r="N422" s="12"/>
    </row>
    <row r="423" spans="3:14" ht="14.5">
      <c r="C423" s="10"/>
      <c r="J423" s="10"/>
      <c r="N423" s="12"/>
    </row>
    <row r="424" spans="3:14" ht="14.5">
      <c r="C424" s="10"/>
      <c r="J424" s="10"/>
      <c r="N424" s="12"/>
    </row>
    <row r="425" spans="3:14" ht="14.5">
      <c r="C425" s="10"/>
      <c r="J425" s="10"/>
      <c r="N425" s="12"/>
    </row>
    <row r="426" spans="3:14" ht="14.5">
      <c r="C426" s="10"/>
      <c r="J426" s="10"/>
      <c r="N426" s="12"/>
    </row>
    <row r="427" spans="3:14" ht="14.5">
      <c r="C427" s="10"/>
      <c r="J427" s="10"/>
      <c r="N427" s="12"/>
    </row>
    <row r="428" spans="3:14" ht="14.5">
      <c r="C428" s="10"/>
      <c r="J428" s="10"/>
      <c r="N428" s="12"/>
    </row>
    <row r="429" spans="3:14" ht="14.5">
      <c r="C429" s="10"/>
      <c r="J429" s="10"/>
      <c r="N429" s="12"/>
    </row>
    <row r="430" spans="3:14" ht="14.5">
      <c r="C430" s="10"/>
      <c r="J430" s="10"/>
      <c r="N430" s="12"/>
    </row>
    <row r="431" spans="3:14" ht="14.5">
      <c r="C431" s="10"/>
      <c r="J431" s="10"/>
      <c r="N431" s="12"/>
    </row>
    <row r="432" spans="3:14" ht="14.5">
      <c r="C432" s="10"/>
      <c r="J432" s="10"/>
      <c r="N432" s="12"/>
    </row>
    <row r="433" spans="3:14" ht="14.5">
      <c r="C433" s="10"/>
      <c r="J433" s="10"/>
      <c r="N433" s="12"/>
    </row>
    <row r="434" spans="3:14" ht="14.5">
      <c r="C434" s="10"/>
      <c r="J434" s="10"/>
      <c r="N434" s="12"/>
    </row>
    <row r="435" spans="3:14" ht="14.5">
      <c r="C435" s="10"/>
      <c r="J435" s="10"/>
      <c r="N435" s="12"/>
    </row>
    <row r="436" spans="3:14" ht="14.5">
      <c r="C436" s="10"/>
      <c r="J436" s="10"/>
      <c r="N436" s="12"/>
    </row>
    <row r="437" spans="3:14" ht="14.5">
      <c r="C437" s="10"/>
      <c r="J437" s="10"/>
      <c r="N437" s="12"/>
    </row>
    <row r="438" spans="3:14" ht="14.5">
      <c r="C438" s="10"/>
      <c r="J438" s="10"/>
      <c r="N438" s="12"/>
    </row>
    <row r="439" spans="3:14" ht="14.5">
      <c r="C439" s="10"/>
      <c r="J439" s="10"/>
      <c r="N439" s="12"/>
    </row>
    <row r="440" spans="3:14" ht="14.5">
      <c r="C440" s="10"/>
      <c r="J440" s="10"/>
      <c r="N440" s="12"/>
    </row>
    <row r="441" spans="3:14" ht="14.5">
      <c r="C441" s="10"/>
      <c r="J441" s="10"/>
      <c r="N441" s="12"/>
    </row>
    <row r="442" spans="3:14" ht="14.5">
      <c r="C442" s="10"/>
      <c r="J442" s="10"/>
      <c r="N442" s="12"/>
    </row>
    <row r="443" spans="3:14" ht="14.5">
      <c r="C443" s="10"/>
      <c r="J443" s="10"/>
      <c r="N443" s="12"/>
    </row>
    <row r="444" spans="3:14" ht="14.5">
      <c r="C444" s="10"/>
      <c r="J444" s="10"/>
      <c r="N444" s="12"/>
    </row>
    <row r="445" spans="3:14" ht="14.5">
      <c r="C445" s="10"/>
      <c r="J445" s="10"/>
      <c r="N445" s="12"/>
    </row>
    <row r="446" spans="3:14" ht="14.5">
      <c r="C446" s="10"/>
      <c r="J446" s="10"/>
      <c r="N446" s="12"/>
    </row>
    <row r="447" spans="3:14" ht="14.5">
      <c r="C447" s="10"/>
      <c r="J447" s="10"/>
      <c r="N447" s="12"/>
    </row>
    <row r="448" spans="3:14" ht="14.5">
      <c r="C448" s="10"/>
      <c r="J448" s="10"/>
      <c r="N448" s="12"/>
    </row>
    <row r="449" spans="3:14" ht="14.5">
      <c r="C449" s="10"/>
      <c r="J449" s="10"/>
      <c r="N449" s="12"/>
    </row>
    <row r="450" spans="3:14" ht="14.5">
      <c r="C450" s="10"/>
      <c r="J450" s="10"/>
      <c r="N450" s="12"/>
    </row>
    <row r="451" spans="3:14" ht="14.5">
      <c r="C451" s="10"/>
      <c r="J451" s="10"/>
      <c r="N451" s="12"/>
    </row>
    <row r="452" spans="3:14" ht="14.5">
      <c r="C452" s="10"/>
      <c r="J452" s="10"/>
      <c r="N452" s="12"/>
    </row>
    <row r="453" spans="3:14" ht="14.5">
      <c r="C453" s="10"/>
      <c r="J453" s="10"/>
      <c r="N453" s="12"/>
    </row>
    <row r="454" spans="3:14" ht="14.5">
      <c r="C454" s="10"/>
      <c r="J454" s="10"/>
      <c r="N454" s="12"/>
    </row>
    <row r="455" spans="3:14" ht="14.5">
      <c r="C455" s="10"/>
      <c r="J455" s="10"/>
      <c r="N455" s="12"/>
    </row>
    <row r="456" spans="3:14" ht="14.5">
      <c r="C456" s="10"/>
      <c r="J456" s="10"/>
      <c r="N456" s="12"/>
    </row>
    <row r="457" spans="3:14" ht="14.5">
      <c r="C457" s="10"/>
      <c r="J457" s="10"/>
      <c r="N457" s="12"/>
    </row>
    <row r="458" spans="3:14" ht="14.5">
      <c r="C458" s="10"/>
      <c r="J458" s="10"/>
      <c r="N458" s="12"/>
    </row>
    <row r="459" spans="3:14" ht="14.5">
      <c r="C459" s="10"/>
      <c r="J459" s="10"/>
      <c r="N459" s="12"/>
    </row>
    <row r="460" spans="3:14" ht="14.5">
      <c r="C460" s="10"/>
      <c r="J460" s="10"/>
      <c r="N460" s="12"/>
    </row>
    <row r="461" spans="3:14" ht="14.5">
      <c r="C461" s="10"/>
      <c r="J461" s="10"/>
      <c r="N461" s="12"/>
    </row>
    <row r="462" spans="3:14" ht="14.5">
      <c r="C462" s="10"/>
      <c r="J462" s="10"/>
      <c r="N462" s="12"/>
    </row>
    <row r="463" spans="3:14" ht="14.5">
      <c r="C463" s="10"/>
      <c r="J463" s="10"/>
      <c r="N463" s="12"/>
    </row>
    <row r="464" spans="3:14" ht="14.5">
      <c r="C464" s="10"/>
      <c r="J464" s="10"/>
      <c r="N464" s="12"/>
    </row>
    <row r="465" spans="3:14" ht="14.5">
      <c r="C465" s="10"/>
      <c r="J465" s="10"/>
      <c r="N465" s="12"/>
    </row>
    <row r="466" spans="3:14" ht="14.5">
      <c r="C466" s="10"/>
      <c r="J466" s="10"/>
      <c r="N466" s="12"/>
    </row>
    <row r="467" spans="3:14" ht="14.5">
      <c r="C467" s="10"/>
      <c r="J467" s="10"/>
      <c r="N467" s="12"/>
    </row>
    <row r="468" spans="3:14" ht="14.5">
      <c r="C468" s="10"/>
      <c r="J468" s="10"/>
      <c r="N468" s="12"/>
    </row>
    <row r="469" spans="3:14" ht="14.5">
      <c r="C469" s="10"/>
      <c r="J469" s="10"/>
      <c r="N469" s="12"/>
    </row>
    <row r="470" spans="3:14" ht="14.5">
      <c r="C470" s="10"/>
      <c r="J470" s="10"/>
      <c r="N470" s="12"/>
    </row>
    <row r="471" spans="3:14" ht="14.5">
      <c r="C471" s="10"/>
      <c r="J471" s="10"/>
      <c r="N471" s="12"/>
    </row>
    <row r="472" spans="3:14" ht="14.5">
      <c r="C472" s="10"/>
      <c r="J472" s="10"/>
      <c r="N472" s="12"/>
    </row>
    <row r="473" spans="3:14" ht="14.5">
      <c r="C473" s="10"/>
      <c r="J473" s="10"/>
      <c r="N473" s="12"/>
    </row>
    <row r="474" spans="3:14" ht="14.5">
      <c r="C474" s="10"/>
      <c r="J474" s="10"/>
      <c r="N474" s="12"/>
    </row>
    <row r="475" spans="3:14" ht="14.5">
      <c r="C475" s="10"/>
      <c r="J475" s="10"/>
      <c r="N475" s="12"/>
    </row>
    <row r="476" spans="3:14" ht="14.5">
      <c r="C476" s="10"/>
      <c r="J476" s="10"/>
      <c r="N476" s="12"/>
    </row>
    <row r="477" spans="3:14" ht="14.5">
      <c r="C477" s="10"/>
      <c r="J477" s="10"/>
      <c r="N477" s="12"/>
    </row>
    <row r="478" spans="3:14" ht="14.5">
      <c r="C478" s="10"/>
      <c r="J478" s="10"/>
      <c r="N478" s="12"/>
    </row>
    <row r="479" spans="3:14" ht="14.5">
      <c r="C479" s="10"/>
      <c r="J479" s="10"/>
      <c r="N479" s="12"/>
    </row>
    <row r="480" spans="3:14" ht="14.5">
      <c r="C480" s="10"/>
      <c r="J480" s="10"/>
      <c r="N480" s="12"/>
    </row>
    <row r="481" spans="3:14" ht="14.5">
      <c r="C481" s="10"/>
      <c r="J481" s="10"/>
      <c r="N481" s="12"/>
    </row>
    <row r="482" spans="3:14" ht="14.5">
      <c r="C482" s="10"/>
      <c r="J482" s="10"/>
      <c r="N482" s="12"/>
    </row>
    <row r="483" spans="3:14" ht="14.5">
      <c r="C483" s="10"/>
      <c r="J483" s="10"/>
      <c r="N483" s="12"/>
    </row>
    <row r="484" spans="3:14" ht="14.5">
      <c r="C484" s="10"/>
      <c r="J484" s="10"/>
      <c r="N484" s="12"/>
    </row>
    <row r="485" spans="3:14" ht="14.5">
      <c r="C485" s="10"/>
      <c r="J485" s="10"/>
      <c r="N485" s="12"/>
    </row>
    <row r="486" spans="3:14" ht="14.5">
      <c r="C486" s="10"/>
      <c r="J486" s="10"/>
      <c r="N486" s="12"/>
    </row>
    <row r="487" spans="3:14" ht="14.5">
      <c r="C487" s="10"/>
      <c r="J487" s="10"/>
      <c r="N487" s="12"/>
    </row>
    <row r="488" spans="3:14" ht="14.5">
      <c r="C488" s="10"/>
      <c r="J488" s="10"/>
      <c r="N488" s="12"/>
    </row>
    <row r="489" spans="3:14" ht="14.5">
      <c r="C489" s="10"/>
      <c r="J489" s="10"/>
      <c r="N489" s="12"/>
    </row>
    <row r="490" spans="3:14" ht="14.5">
      <c r="C490" s="10"/>
      <c r="J490" s="10"/>
      <c r="N490" s="12"/>
    </row>
    <row r="491" spans="3:14" ht="14.5">
      <c r="C491" s="10"/>
      <c r="J491" s="10"/>
      <c r="N491" s="12"/>
    </row>
    <row r="492" spans="3:14" ht="14.5">
      <c r="C492" s="10"/>
      <c r="J492" s="10"/>
      <c r="N492" s="12"/>
    </row>
    <row r="493" spans="3:14" ht="14.5">
      <c r="C493" s="10"/>
      <c r="J493" s="10"/>
      <c r="N493" s="12"/>
    </row>
    <row r="494" spans="3:14" ht="14.5">
      <c r="C494" s="10"/>
      <c r="J494" s="10"/>
      <c r="N494" s="12"/>
    </row>
    <row r="495" spans="3:14" ht="14.5">
      <c r="C495" s="10"/>
      <c r="J495" s="10"/>
      <c r="N495" s="12"/>
    </row>
    <row r="496" spans="3:14" ht="14.5">
      <c r="C496" s="10"/>
      <c r="J496" s="10"/>
      <c r="N496" s="12"/>
    </row>
    <row r="497" spans="3:14" ht="14.5">
      <c r="C497" s="10"/>
      <c r="J497" s="10"/>
      <c r="N497" s="12"/>
    </row>
    <row r="498" spans="3:14" ht="14.5">
      <c r="C498" s="10"/>
      <c r="J498" s="10"/>
      <c r="N498" s="12"/>
    </row>
    <row r="499" spans="3:14" ht="14.5">
      <c r="C499" s="10"/>
      <c r="J499" s="10"/>
      <c r="N499" s="12"/>
    </row>
    <row r="500" spans="3:14" ht="14.5">
      <c r="C500" s="10"/>
      <c r="J500" s="10"/>
      <c r="N500" s="12"/>
    </row>
    <row r="501" spans="3:14" ht="14.5">
      <c r="C501" s="10"/>
      <c r="J501" s="10"/>
      <c r="N501" s="12"/>
    </row>
    <row r="502" spans="3:14" ht="14.5">
      <c r="C502" s="10"/>
      <c r="J502" s="10"/>
      <c r="N502" s="12"/>
    </row>
    <row r="503" spans="3:14" ht="14.5">
      <c r="C503" s="10"/>
      <c r="J503" s="10"/>
      <c r="N503" s="12"/>
    </row>
    <row r="504" spans="3:14" ht="14.5">
      <c r="C504" s="10"/>
      <c r="J504" s="10"/>
      <c r="N504" s="12"/>
    </row>
    <row r="505" spans="3:14" ht="14.5">
      <c r="C505" s="10"/>
      <c r="J505" s="10"/>
      <c r="N505" s="12"/>
    </row>
    <row r="506" spans="3:14" ht="14.5">
      <c r="C506" s="10"/>
      <c r="J506" s="10"/>
      <c r="N506" s="12"/>
    </row>
    <row r="507" spans="3:14" ht="14.5">
      <c r="C507" s="10"/>
      <c r="J507" s="10"/>
      <c r="N507" s="12"/>
    </row>
    <row r="508" spans="3:14" ht="14.5">
      <c r="C508" s="10"/>
      <c r="J508" s="10"/>
      <c r="N508" s="12"/>
    </row>
    <row r="509" spans="3:14" ht="14.5">
      <c r="C509" s="10"/>
      <c r="J509" s="10"/>
      <c r="N509" s="12"/>
    </row>
    <row r="510" spans="3:14" ht="14.5">
      <c r="C510" s="10"/>
      <c r="J510" s="10"/>
      <c r="N510" s="12"/>
    </row>
    <row r="511" spans="3:14" ht="14.5">
      <c r="C511" s="10"/>
      <c r="J511" s="10"/>
      <c r="N511" s="12"/>
    </row>
    <row r="512" spans="3:14" ht="14.5">
      <c r="C512" s="10"/>
      <c r="J512" s="10"/>
      <c r="N512" s="12"/>
    </row>
    <row r="513" spans="3:14" ht="14.5">
      <c r="C513" s="10"/>
      <c r="J513" s="10"/>
      <c r="N513" s="12"/>
    </row>
    <row r="514" spans="3:14" ht="14.5">
      <c r="C514" s="10"/>
      <c r="J514" s="10"/>
      <c r="N514" s="12"/>
    </row>
    <row r="515" spans="3:14" ht="14.5">
      <c r="C515" s="10"/>
      <c r="J515" s="10"/>
      <c r="N515" s="12"/>
    </row>
    <row r="516" spans="3:14" ht="14.5">
      <c r="C516" s="10"/>
      <c r="J516" s="10"/>
      <c r="N516" s="12"/>
    </row>
    <row r="517" spans="3:14" ht="14.5">
      <c r="C517" s="10"/>
      <c r="J517" s="10"/>
      <c r="N517" s="12"/>
    </row>
    <row r="518" spans="3:14" ht="14.5">
      <c r="C518" s="10"/>
      <c r="J518" s="10"/>
      <c r="N518" s="12"/>
    </row>
    <row r="519" spans="3:14" ht="14.5">
      <c r="C519" s="10"/>
      <c r="J519" s="10"/>
      <c r="N519" s="12"/>
    </row>
    <row r="520" spans="3:14" ht="14.5">
      <c r="C520" s="10"/>
      <c r="J520" s="10"/>
      <c r="N520" s="12"/>
    </row>
    <row r="521" spans="3:14" ht="14.5">
      <c r="C521" s="10"/>
      <c r="J521" s="10"/>
      <c r="N521" s="12"/>
    </row>
    <row r="522" spans="3:14" ht="14.5">
      <c r="C522" s="10"/>
      <c r="J522" s="10"/>
      <c r="N522" s="12"/>
    </row>
    <row r="523" spans="3:14" ht="14.5">
      <c r="C523" s="10"/>
      <c r="J523" s="10"/>
      <c r="N523" s="12"/>
    </row>
    <row r="524" spans="3:14" ht="14.5">
      <c r="C524" s="10"/>
      <c r="J524" s="10"/>
      <c r="N524" s="12"/>
    </row>
    <row r="525" spans="3:14" ht="14.5">
      <c r="C525" s="10"/>
      <c r="J525" s="10"/>
      <c r="N525" s="12"/>
    </row>
    <row r="526" spans="3:14" ht="14.5">
      <c r="C526" s="10"/>
      <c r="J526" s="10"/>
      <c r="N526" s="12"/>
    </row>
    <row r="527" spans="3:14" ht="14.5">
      <c r="C527" s="10"/>
      <c r="J527" s="10"/>
      <c r="N527" s="12"/>
    </row>
    <row r="528" spans="3:14" ht="14.5">
      <c r="C528" s="10"/>
      <c r="J528" s="10"/>
      <c r="N528" s="12"/>
    </row>
    <row r="529" spans="3:14" ht="14.5">
      <c r="C529" s="10"/>
      <c r="J529" s="10"/>
      <c r="N529" s="12"/>
    </row>
    <row r="530" spans="3:14" ht="14.5">
      <c r="C530" s="10"/>
      <c r="J530" s="10"/>
      <c r="N530" s="12"/>
    </row>
    <row r="531" spans="3:14" ht="14.5">
      <c r="C531" s="10"/>
      <c r="J531" s="10"/>
      <c r="N531" s="12"/>
    </row>
    <row r="532" spans="3:14" ht="14.5">
      <c r="C532" s="10"/>
      <c r="J532" s="10"/>
      <c r="N532" s="12"/>
    </row>
    <row r="533" spans="3:14" ht="14.5">
      <c r="C533" s="10"/>
      <c r="J533" s="10"/>
      <c r="N533" s="12"/>
    </row>
    <row r="534" spans="3:14" ht="14.5">
      <c r="C534" s="10"/>
      <c r="J534" s="10"/>
      <c r="N534" s="12"/>
    </row>
    <row r="535" spans="3:14" ht="14.5">
      <c r="C535" s="10"/>
      <c r="J535" s="10"/>
      <c r="N535" s="12"/>
    </row>
    <row r="536" spans="3:14" ht="14.5">
      <c r="C536" s="10"/>
      <c r="J536" s="10"/>
      <c r="N536" s="12"/>
    </row>
    <row r="537" spans="3:14" ht="14.5">
      <c r="C537" s="10"/>
      <c r="J537" s="10"/>
      <c r="N537" s="12"/>
    </row>
    <row r="538" spans="3:14" ht="14.5">
      <c r="C538" s="10"/>
      <c r="J538" s="10"/>
      <c r="N538" s="12"/>
    </row>
    <row r="539" spans="3:14" ht="14.5">
      <c r="C539" s="10"/>
      <c r="J539" s="10"/>
      <c r="N539" s="12"/>
    </row>
    <row r="540" spans="3:14" ht="14.5">
      <c r="C540" s="10"/>
      <c r="J540" s="10"/>
      <c r="N540" s="12"/>
    </row>
    <row r="541" spans="3:14" ht="14.5">
      <c r="C541" s="10"/>
      <c r="J541" s="10"/>
      <c r="N541" s="12"/>
    </row>
    <row r="542" spans="3:14" ht="14.5">
      <c r="C542" s="10"/>
      <c r="J542" s="10"/>
      <c r="N542" s="12"/>
    </row>
    <row r="543" spans="3:14" ht="14.5">
      <c r="C543" s="10"/>
      <c r="J543" s="10"/>
      <c r="N543" s="12"/>
    </row>
    <row r="544" spans="3:14" ht="14.5">
      <c r="C544" s="10"/>
      <c r="J544" s="10"/>
      <c r="N544" s="12"/>
    </row>
    <row r="545" spans="3:14" ht="14.5">
      <c r="C545" s="10"/>
      <c r="J545" s="10"/>
      <c r="N545" s="12"/>
    </row>
    <row r="546" spans="3:14" ht="14.5">
      <c r="C546" s="10"/>
      <c r="J546" s="10"/>
      <c r="N546" s="12"/>
    </row>
    <row r="547" spans="3:14" ht="14.5">
      <c r="C547" s="10"/>
      <c r="J547" s="10"/>
      <c r="N547" s="12"/>
    </row>
    <row r="548" spans="3:14" ht="14.5">
      <c r="C548" s="10"/>
      <c r="J548" s="10"/>
      <c r="N548" s="12"/>
    </row>
    <row r="549" spans="3:14" ht="14.5">
      <c r="C549" s="10"/>
      <c r="J549" s="10"/>
      <c r="N549" s="12"/>
    </row>
    <row r="550" spans="3:14" ht="14.5">
      <c r="C550" s="10"/>
      <c r="J550" s="10"/>
      <c r="N550" s="12"/>
    </row>
    <row r="551" spans="3:14" ht="14.5">
      <c r="C551" s="10"/>
      <c r="J551" s="10"/>
      <c r="N551" s="12"/>
    </row>
    <row r="552" spans="3:14" ht="14.5">
      <c r="C552" s="10"/>
      <c r="J552" s="10"/>
      <c r="N552" s="12"/>
    </row>
    <row r="553" spans="3:14" ht="14.5">
      <c r="C553" s="10"/>
      <c r="J553" s="10"/>
      <c r="N553" s="12"/>
    </row>
    <row r="554" spans="3:14" ht="14.5">
      <c r="C554" s="10"/>
      <c r="J554" s="10"/>
      <c r="N554" s="12"/>
    </row>
    <row r="555" spans="3:14" ht="14.5">
      <c r="C555" s="10"/>
      <c r="J555" s="10"/>
      <c r="N555" s="12"/>
    </row>
    <row r="556" spans="3:14" ht="14.5">
      <c r="C556" s="10"/>
      <c r="J556" s="10"/>
      <c r="N556" s="12"/>
    </row>
    <row r="557" spans="3:14" ht="14.5">
      <c r="C557" s="10"/>
      <c r="J557" s="10"/>
      <c r="N557" s="12"/>
    </row>
    <row r="558" spans="3:14" ht="14.5">
      <c r="C558" s="10"/>
      <c r="J558" s="10"/>
      <c r="N558" s="12"/>
    </row>
    <row r="559" spans="3:14" ht="14.5">
      <c r="C559" s="10"/>
      <c r="J559" s="10"/>
      <c r="N559" s="12"/>
    </row>
    <row r="560" spans="3:14" ht="14.5">
      <c r="C560" s="10"/>
      <c r="J560" s="10"/>
      <c r="N560" s="12"/>
    </row>
    <row r="561" spans="3:14" ht="14.5">
      <c r="C561" s="10"/>
      <c r="J561" s="10"/>
      <c r="N561" s="12"/>
    </row>
    <row r="562" spans="3:14" ht="14.5">
      <c r="C562" s="10"/>
      <c r="J562" s="10"/>
      <c r="N562" s="12"/>
    </row>
    <row r="563" spans="3:14" ht="14.5">
      <c r="C563" s="10"/>
      <c r="J563" s="10"/>
      <c r="N563" s="12"/>
    </row>
    <row r="564" spans="3:14" ht="14.5">
      <c r="C564" s="10"/>
      <c r="J564" s="10"/>
      <c r="N564" s="12"/>
    </row>
    <row r="565" spans="3:14" ht="14.5">
      <c r="C565" s="10"/>
      <c r="J565" s="10"/>
      <c r="N565" s="12"/>
    </row>
    <row r="566" spans="3:14" ht="14.5">
      <c r="C566" s="10"/>
      <c r="J566" s="10"/>
      <c r="N566" s="12"/>
    </row>
    <row r="567" spans="3:14" ht="14.5">
      <c r="C567" s="10"/>
      <c r="J567" s="10"/>
      <c r="N567" s="12"/>
    </row>
    <row r="568" spans="3:14" ht="14.5">
      <c r="C568" s="10"/>
      <c r="J568" s="10"/>
      <c r="N568" s="12"/>
    </row>
    <row r="569" spans="3:14" ht="14.5">
      <c r="C569" s="10"/>
      <c r="J569" s="10"/>
      <c r="N569" s="12"/>
    </row>
    <row r="570" spans="3:14" ht="14.5">
      <c r="C570" s="10"/>
      <c r="J570" s="10"/>
      <c r="N570" s="12"/>
    </row>
    <row r="571" spans="3:14" ht="14.5">
      <c r="C571" s="10"/>
      <c r="J571" s="10"/>
      <c r="N571" s="12"/>
    </row>
    <row r="572" spans="3:14" ht="14.5">
      <c r="C572" s="10"/>
      <c r="J572" s="10"/>
      <c r="N572" s="12"/>
    </row>
    <row r="573" spans="3:14" ht="14.5">
      <c r="C573" s="10"/>
      <c r="J573" s="10"/>
      <c r="N573" s="12"/>
    </row>
    <row r="574" spans="3:14" ht="14.5">
      <c r="C574" s="10"/>
      <c r="J574" s="10"/>
      <c r="N574" s="12"/>
    </row>
    <row r="575" spans="3:14" ht="14.5">
      <c r="C575" s="10"/>
      <c r="J575" s="10"/>
      <c r="N575" s="12"/>
    </row>
    <row r="576" spans="3:14" ht="14.5">
      <c r="C576" s="10"/>
      <c r="J576" s="10"/>
      <c r="N576" s="12"/>
    </row>
    <row r="577" spans="3:14" ht="14.5">
      <c r="C577" s="10"/>
      <c r="J577" s="10"/>
      <c r="N577" s="12"/>
    </row>
    <row r="578" spans="3:14" ht="14.5">
      <c r="C578" s="10"/>
      <c r="J578" s="10"/>
      <c r="N578" s="12"/>
    </row>
    <row r="579" spans="3:14" ht="14.5">
      <c r="C579" s="10"/>
      <c r="J579" s="10"/>
      <c r="N579" s="12"/>
    </row>
    <row r="580" spans="3:14" ht="14.5">
      <c r="C580" s="10"/>
      <c r="J580" s="10"/>
      <c r="N580" s="12"/>
    </row>
    <row r="581" spans="3:14" ht="14.5">
      <c r="C581" s="10"/>
      <c r="J581" s="10"/>
      <c r="N581" s="12"/>
    </row>
    <row r="582" spans="3:14" ht="14.5">
      <c r="C582" s="10"/>
      <c r="J582" s="10"/>
      <c r="N582" s="12"/>
    </row>
    <row r="583" spans="3:14" ht="14.5">
      <c r="C583" s="10"/>
      <c r="J583" s="10"/>
      <c r="N583" s="12"/>
    </row>
    <row r="584" spans="3:14" ht="14.5">
      <c r="C584" s="10"/>
      <c r="J584" s="10"/>
      <c r="N584" s="12"/>
    </row>
    <row r="585" spans="3:14" ht="14.5">
      <c r="C585" s="10"/>
      <c r="J585" s="10"/>
      <c r="N585" s="12"/>
    </row>
    <row r="586" spans="3:14" ht="14.5">
      <c r="C586" s="10"/>
      <c r="J586" s="10"/>
      <c r="N586" s="12"/>
    </row>
    <row r="587" spans="3:14" ht="14.5">
      <c r="C587" s="10"/>
      <c r="J587" s="10"/>
      <c r="N587" s="12"/>
    </row>
    <row r="588" spans="3:14" ht="14.5">
      <c r="C588" s="10"/>
      <c r="J588" s="10"/>
      <c r="N588" s="12"/>
    </row>
    <row r="589" spans="3:14" ht="14.5">
      <c r="C589" s="10"/>
      <c r="J589" s="10"/>
      <c r="N589" s="12"/>
    </row>
    <row r="590" spans="3:14" ht="14.5">
      <c r="C590" s="10"/>
      <c r="J590" s="10"/>
      <c r="N590" s="12"/>
    </row>
    <row r="591" spans="3:14" ht="14.5">
      <c r="C591" s="10"/>
      <c r="J591" s="10"/>
      <c r="N591" s="12"/>
    </row>
    <row r="592" spans="3:14" ht="14.5">
      <c r="C592" s="10"/>
      <c r="J592" s="10"/>
      <c r="N592" s="12"/>
    </row>
    <row r="593" spans="3:14" ht="14.5">
      <c r="C593" s="10"/>
      <c r="J593" s="10"/>
      <c r="N593" s="12"/>
    </row>
    <row r="594" spans="3:14" ht="14.5">
      <c r="C594" s="10"/>
      <c r="J594" s="10"/>
      <c r="N594" s="12"/>
    </row>
    <row r="595" spans="3:14" ht="14.5">
      <c r="C595" s="10"/>
      <c r="J595" s="10"/>
      <c r="N595" s="12"/>
    </row>
    <row r="596" spans="3:14" ht="14.5">
      <c r="C596" s="10"/>
      <c r="J596" s="10"/>
      <c r="N596" s="12"/>
    </row>
    <row r="597" spans="3:14" ht="14.5">
      <c r="C597" s="10"/>
      <c r="J597" s="10"/>
      <c r="N597" s="12"/>
    </row>
    <row r="598" spans="3:14" ht="14.5">
      <c r="C598" s="10"/>
      <c r="J598" s="10"/>
      <c r="N598" s="12"/>
    </row>
    <row r="599" spans="3:14" ht="14.5">
      <c r="C599" s="10"/>
      <c r="J599" s="10"/>
      <c r="N599" s="12"/>
    </row>
    <row r="600" spans="3:14" ht="14.5">
      <c r="C600" s="10"/>
      <c r="J600" s="10"/>
      <c r="N600" s="12"/>
    </row>
    <row r="601" spans="3:14" ht="14.5">
      <c r="C601" s="10"/>
      <c r="J601" s="10"/>
      <c r="N601" s="12"/>
    </row>
    <row r="602" spans="3:14" ht="14.5">
      <c r="C602" s="10"/>
      <c r="J602" s="10"/>
      <c r="N602" s="12"/>
    </row>
    <row r="603" spans="3:14" ht="14.5">
      <c r="C603" s="10"/>
      <c r="J603" s="10"/>
      <c r="N603" s="12"/>
    </row>
    <row r="604" spans="3:14" ht="14.5">
      <c r="C604" s="10"/>
      <c r="J604" s="10"/>
      <c r="N604" s="12"/>
    </row>
    <row r="605" spans="3:14" ht="14.5">
      <c r="C605" s="10"/>
      <c r="J605" s="10"/>
      <c r="N605" s="12"/>
    </row>
    <row r="606" spans="3:14" ht="14.5">
      <c r="C606" s="10"/>
      <c r="J606" s="10"/>
      <c r="N606" s="12"/>
    </row>
    <row r="607" spans="3:14" ht="14.5">
      <c r="C607" s="10"/>
      <c r="J607" s="10"/>
      <c r="N607" s="12"/>
    </row>
    <row r="608" spans="3:14" ht="14.5">
      <c r="C608" s="10"/>
      <c r="J608" s="10"/>
      <c r="N608" s="12"/>
    </row>
    <row r="609" spans="3:14" ht="14.5">
      <c r="C609" s="10"/>
      <c r="J609" s="10"/>
      <c r="N609" s="12"/>
    </row>
    <row r="610" spans="3:14" ht="14.5">
      <c r="C610" s="10"/>
      <c r="J610" s="10"/>
      <c r="N610" s="12"/>
    </row>
    <row r="611" spans="3:14" ht="14.5">
      <c r="C611" s="10"/>
      <c r="J611" s="10"/>
      <c r="N611" s="12"/>
    </row>
    <row r="612" spans="3:14" ht="14.5">
      <c r="C612" s="10"/>
      <c r="J612" s="10"/>
      <c r="N612" s="12"/>
    </row>
    <row r="613" spans="3:14" ht="14.5">
      <c r="C613" s="10"/>
      <c r="J613" s="10"/>
      <c r="N613" s="12"/>
    </row>
    <row r="614" spans="3:14" ht="14.5">
      <c r="C614" s="10"/>
      <c r="J614" s="10"/>
      <c r="N614" s="12"/>
    </row>
    <row r="615" spans="3:14" ht="14.5">
      <c r="C615" s="10"/>
      <c r="J615" s="10"/>
      <c r="N615" s="12"/>
    </row>
    <row r="616" spans="3:14" ht="14.5">
      <c r="C616" s="10"/>
      <c r="J616" s="10"/>
      <c r="N616" s="12"/>
    </row>
    <row r="617" spans="3:14" ht="14.5">
      <c r="C617" s="10"/>
      <c r="J617" s="10"/>
      <c r="N617" s="12"/>
    </row>
    <row r="618" spans="3:14" ht="14.5">
      <c r="C618" s="10"/>
      <c r="J618" s="10"/>
      <c r="N618" s="12"/>
    </row>
    <row r="619" spans="3:14" ht="14.5">
      <c r="C619" s="10"/>
      <c r="J619" s="10"/>
      <c r="N619" s="12"/>
    </row>
    <row r="620" spans="3:14" ht="14.5">
      <c r="C620" s="10"/>
      <c r="J620" s="10"/>
      <c r="N620" s="12"/>
    </row>
    <row r="621" spans="3:14" ht="14.5">
      <c r="C621" s="10"/>
      <c r="J621" s="10"/>
      <c r="N621" s="12"/>
    </row>
    <row r="622" spans="3:14" ht="14.5">
      <c r="C622" s="10"/>
      <c r="J622" s="10"/>
      <c r="N622" s="12"/>
    </row>
    <row r="623" spans="3:14" ht="14.5">
      <c r="C623" s="10"/>
      <c r="J623" s="10"/>
      <c r="N623" s="12"/>
    </row>
    <row r="624" spans="3:14" ht="14.5">
      <c r="C624" s="10"/>
      <c r="J624" s="10"/>
      <c r="N624" s="12"/>
    </row>
    <row r="625" spans="3:14" ht="14.5">
      <c r="C625" s="10"/>
      <c r="J625" s="10"/>
      <c r="N625" s="12"/>
    </row>
    <row r="626" spans="3:14" ht="14.5">
      <c r="C626" s="10"/>
      <c r="J626" s="10"/>
      <c r="N626" s="12"/>
    </row>
    <row r="627" spans="3:14" ht="14.5">
      <c r="C627" s="10"/>
      <c r="J627" s="10"/>
      <c r="N627" s="12"/>
    </row>
    <row r="628" spans="3:14" ht="14.5">
      <c r="C628" s="10"/>
      <c r="J628" s="10"/>
      <c r="N628" s="12"/>
    </row>
    <row r="629" spans="3:14" ht="14.5">
      <c r="C629" s="10"/>
      <c r="J629" s="10"/>
      <c r="N629" s="12"/>
    </row>
    <row r="630" spans="3:14" ht="14.5">
      <c r="C630" s="10"/>
      <c r="J630" s="10"/>
      <c r="N630" s="12"/>
    </row>
    <row r="631" spans="3:14" ht="14.5">
      <c r="C631" s="10"/>
      <c r="J631" s="10"/>
      <c r="N631" s="12"/>
    </row>
    <row r="632" spans="3:14" ht="14.5">
      <c r="C632" s="10"/>
      <c r="J632" s="10"/>
      <c r="N632" s="12"/>
    </row>
    <row r="633" spans="3:14" ht="14.5">
      <c r="C633" s="10"/>
      <c r="J633" s="10"/>
      <c r="N633" s="12"/>
    </row>
    <row r="634" spans="3:14" ht="14.5">
      <c r="C634" s="10"/>
      <c r="J634" s="10"/>
      <c r="N634" s="12"/>
    </row>
    <row r="635" spans="3:14" ht="14.5">
      <c r="C635" s="10"/>
      <c r="J635" s="10"/>
      <c r="N635" s="12"/>
    </row>
    <row r="636" spans="3:14" ht="14.5">
      <c r="C636" s="10"/>
      <c r="J636" s="10"/>
      <c r="N636" s="12"/>
    </row>
    <row r="637" spans="3:14" ht="14.5">
      <c r="C637" s="10"/>
      <c r="J637" s="10"/>
      <c r="N637" s="12"/>
    </row>
    <row r="638" spans="3:14" ht="14.5">
      <c r="C638" s="10"/>
      <c r="J638" s="10"/>
      <c r="N638" s="12"/>
    </row>
    <row r="639" spans="3:14" ht="14.5">
      <c r="C639" s="10"/>
      <c r="J639" s="10"/>
      <c r="N639" s="12"/>
    </row>
    <row r="640" spans="3:14" ht="14.5">
      <c r="C640" s="10"/>
      <c r="J640" s="10"/>
      <c r="N640" s="12"/>
    </row>
    <row r="641" spans="3:14" ht="14.5">
      <c r="C641" s="10"/>
      <c r="J641" s="10"/>
      <c r="N641" s="12"/>
    </row>
    <row r="642" spans="3:14" ht="14.5">
      <c r="C642" s="10"/>
      <c r="J642" s="10"/>
      <c r="N642" s="12"/>
    </row>
    <row r="643" spans="3:14" ht="14.5">
      <c r="C643" s="10"/>
      <c r="J643" s="10"/>
      <c r="N643" s="12"/>
    </row>
    <row r="644" spans="3:14" ht="14.5">
      <c r="C644" s="10"/>
      <c r="J644" s="10"/>
      <c r="N644" s="12"/>
    </row>
    <row r="645" spans="3:14" ht="14.5">
      <c r="C645" s="10"/>
      <c r="J645" s="10"/>
      <c r="N645" s="12"/>
    </row>
    <row r="646" spans="3:14" ht="14.5">
      <c r="C646" s="10"/>
      <c r="J646" s="10"/>
      <c r="N646" s="12"/>
    </row>
    <row r="647" spans="3:14" ht="14.5">
      <c r="C647" s="10"/>
      <c r="J647" s="10"/>
      <c r="N647" s="12"/>
    </row>
    <row r="648" spans="3:14" ht="14.5">
      <c r="C648" s="10"/>
      <c r="J648" s="10"/>
      <c r="N648" s="12"/>
    </row>
    <row r="649" spans="3:14" ht="14.5">
      <c r="C649" s="10"/>
      <c r="J649" s="10"/>
      <c r="N649" s="12"/>
    </row>
    <row r="650" spans="3:14" ht="14.5">
      <c r="C650" s="10"/>
      <c r="J650" s="10"/>
      <c r="N650" s="12"/>
    </row>
    <row r="651" spans="3:14" ht="14.5">
      <c r="C651" s="10"/>
      <c r="J651" s="10"/>
      <c r="N651" s="12"/>
    </row>
    <row r="652" spans="3:14" ht="14.5">
      <c r="C652" s="10"/>
      <c r="J652" s="10"/>
      <c r="N652" s="12"/>
    </row>
    <row r="653" spans="3:14" ht="14.5">
      <c r="C653" s="10"/>
      <c r="J653" s="10"/>
      <c r="N653" s="12"/>
    </row>
    <row r="654" spans="3:14" ht="14.5">
      <c r="C654" s="10"/>
      <c r="J654" s="10"/>
      <c r="N654" s="12"/>
    </row>
    <row r="655" spans="3:14" ht="14.5">
      <c r="C655" s="10"/>
      <c r="J655" s="10"/>
      <c r="N655" s="12"/>
    </row>
    <row r="656" spans="3:14" ht="14.5">
      <c r="C656" s="10"/>
      <c r="J656" s="10"/>
      <c r="N656" s="12"/>
    </row>
    <row r="657" spans="3:14" ht="14.5">
      <c r="C657" s="10"/>
      <c r="J657" s="10"/>
      <c r="N657" s="12"/>
    </row>
    <row r="658" spans="3:14" ht="14.5">
      <c r="C658" s="10"/>
      <c r="J658" s="10"/>
      <c r="N658" s="12"/>
    </row>
    <row r="659" spans="3:14" ht="14.5">
      <c r="C659" s="10"/>
      <c r="J659" s="10"/>
      <c r="N659" s="12"/>
    </row>
    <row r="660" spans="3:14" ht="14.5">
      <c r="C660" s="10"/>
      <c r="J660" s="10"/>
      <c r="N660" s="12"/>
    </row>
    <row r="661" spans="3:14" ht="14.5">
      <c r="C661" s="10"/>
      <c r="J661" s="10"/>
      <c r="N661" s="12"/>
    </row>
    <row r="662" spans="3:14" ht="14.5">
      <c r="C662" s="10"/>
      <c r="J662" s="10"/>
      <c r="N662" s="12"/>
    </row>
    <row r="663" spans="3:14" ht="14.5">
      <c r="C663" s="10"/>
      <c r="J663" s="10"/>
      <c r="N663" s="12"/>
    </row>
    <row r="664" spans="3:14" ht="14.5">
      <c r="C664" s="10"/>
      <c r="J664" s="10"/>
      <c r="N664" s="12"/>
    </row>
    <row r="665" spans="3:14" ht="14.5">
      <c r="C665" s="10"/>
      <c r="J665" s="10"/>
      <c r="N665" s="12"/>
    </row>
    <row r="666" spans="3:14" ht="14.5">
      <c r="C666" s="10"/>
      <c r="J666" s="10"/>
      <c r="N666" s="12"/>
    </row>
    <row r="667" spans="3:14" ht="14.5">
      <c r="C667" s="10"/>
      <c r="J667" s="10"/>
      <c r="N667" s="12"/>
    </row>
    <row r="668" spans="3:14" ht="14.5">
      <c r="C668" s="10"/>
      <c r="J668" s="10"/>
      <c r="N668" s="12"/>
    </row>
    <row r="669" spans="3:14" ht="14.5">
      <c r="C669" s="10"/>
      <c r="J669" s="10"/>
      <c r="N669" s="12"/>
    </row>
    <row r="670" spans="3:14" ht="14.5">
      <c r="C670" s="10"/>
      <c r="J670" s="10"/>
      <c r="N670" s="12"/>
    </row>
    <row r="671" spans="3:14" ht="14.5">
      <c r="C671" s="10"/>
      <c r="J671" s="10"/>
      <c r="N671" s="12"/>
    </row>
    <row r="672" spans="3:14" ht="14.5">
      <c r="C672" s="10"/>
      <c r="J672" s="10"/>
      <c r="N672" s="12"/>
    </row>
    <row r="673" spans="3:14" ht="14.5">
      <c r="C673" s="10"/>
      <c r="J673" s="10"/>
      <c r="N673" s="12"/>
    </row>
    <row r="674" spans="3:14" ht="14.5">
      <c r="C674" s="10"/>
      <c r="J674" s="10"/>
      <c r="N674" s="12"/>
    </row>
    <row r="675" spans="3:14" ht="14.5">
      <c r="C675" s="10"/>
      <c r="J675" s="10"/>
      <c r="N675" s="12"/>
    </row>
    <row r="676" spans="3:14" ht="14.5">
      <c r="C676" s="10"/>
      <c r="J676" s="10"/>
      <c r="N676" s="12"/>
    </row>
    <row r="677" spans="3:14" ht="14.5">
      <c r="C677" s="10"/>
      <c r="J677" s="10"/>
      <c r="N677" s="12"/>
    </row>
    <row r="678" spans="3:14" ht="14.5">
      <c r="C678" s="10"/>
      <c r="J678" s="10"/>
      <c r="N678" s="12"/>
    </row>
    <row r="679" spans="3:14" ht="14.5">
      <c r="C679" s="10"/>
      <c r="J679" s="10"/>
      <c r="N679" s="12"/>
    </row>
    <row r="680" spans="3:14" ht="14.5">
      <c r="C680" s="10"/>
      <c r="J680" s="10"/>
      <c r="N680" s="12"/>
    </row>
    <row r="681" spans="3:14" ht="14.5">
      <c r="C681" s="10"/>
      <c r="J681" s="10"/>
      <c r="N681" s="12"/>
    </row>
    <row r="682" spans="3:14" ht="14.5">
      <c r="C682" s="10"/>
      <c r="J682" s="10"/>
      <c r="N682" s="12"/>
    </row>
    <row r="683" spans="3:14" ht="14.5">
      <c r="C683" s="10"/>
      <c r="J683" s="10"/>
      <c r="N683" s="12"/>
    </row>
    <row r="684" spans="3:14" ht="14.5">
      <c r="C684" s="10"/>
      <c r="J684" s="10"/>
      <c r="N684" s="12"/>
    </row>
    <row r="685" spans="3:14" ht="14.5">
      <c r="C685" s="10"/>
      <c r="J685" s="10"/>
      <c r="N685" s="12"/>
    </row>
    <row r="686" spans="3:14" ht="14.5">
      <c r="C686" s="10"/>
      <c r="J686" s="10"/>
      <c r="N686" s="12"/>
    </row>
    <row r="687" spans="3:14" ht="14.5">
      <c r="C687" s="10"/>
      <c r="J687" s="10"/>
      <c r="N687" s="12"/>
    </row>
    <row r="688" spans="3:14" ht="14.5">
      <c r="C688" s="10"/>
      <c r="J688" s="10"/>
      <c r="N688" s="12"/>
    </row>
    <row r="689" spans="3:14" ht="14.5">
      <c r="C689" s="10"/>
      <c r="J689" s="10"/>
      <c r="N689" s="12"/>
    </row>
    <row r="690" spans="3:14" ht="14.5">
      <c r="C690" s="10"/>
      <c r="J690" s="10"/>
      <c r="N690" s="12"/>
    </row>
    <row r="691" spans="3:14" ht="14.5">
      <c r="C691" s="10"/>
      <c r="J691" s="10"/>
      <c r="N691" s="12"/>
    </row>
    <row r="692" spans="3:14" ht="14.5">
      <c r="C692" s="10"/>
      <c r="J692" s="10"/>
      <c r="N692" s="12"/>
    </row>
    <row r="693" spans="3:14" ht="14.5">
      <c r="C693" s="10"/>
      <c r="J693" s="10"/>
      <c r="N693" s="12"/>
    </row>
    <row r="694" spans="3:14" ht="14.5">
      <c r="C694" s="10"/>
      <c r="J694" s="10"/>
      <c r="N694" s="12"/>
    </row>
    <row r="695" spans="3:14" ht="14.5">
      <c r="C695" s="10"/>
      <c r="J695" s="10"/>
      <c r="N695" s="12"/>
    </row>
    <row r="696" spans="3:14" ht="14.5">
      <c r="C696" s="10"/>
      <c r="J696" s="10"/>
      <c r="N696" s="12"/>
    </row>
    <row r="697" spans="3:14" ht="14.5">
      <c r="C697" s="10"/>
      <c r="J697" s="10"/>
      <c r="N697" s="12"/>
    </row>
    <row r="698" spans="3:14" ht="14.5">
      <c r="C698" s="10"/>
      <c r="J698" s="10"/>
      <c r="N698" s="12"/>
    </row>
    <row r="699" spans="3:14" ht="14.5">
      <c r="C699" s="10"/>
      <c r="J699" s="10"/>
      <c r="N699" s="12"/>
    </row>
    <row r="700" spans="3:14" ht="14.5">
      <c r="C700" s="10"/>
      <c r="J700" s="10"/>
      <c r="N700" s="12"/>
    </row>
    <row r="701" spans="3:14" ht="14.5">
      <c r="C701" s="10"/>
      <c r="J701" s="10"/>
      <c r="N701" s="12"/>
    </row>
    <row r="702" spans="3:14" ht="14.5">
      <c r="C702" s="10"/>
      <c r="J702" s="10"/>
      <c r="N702" s="12"/>
    </row>
    <row r="703" spans="3:14" ht="14.5">
      <c r="C703" s="10"/>
      <c r="J703" s="10"/>
      <c r="N703" s="12"/>
    </row>
    <row r="704" spans="3:14" ht="14.5">
      <c r="C704" s="10"/>
      <c r="J704" s="10"/>
      <c r="N704" s="12"/>
    </row>
    <row r="705" spans="3:14" ht="14.5">
      <c r="C705" s="10"/>
      <c r="J705" s="10"/>
      <c r="N705" s="12"/>
    </row>
    <row r="706" spans="3:14" ht="14.5">
      <c r="C706" s="10"/>
      <c r="J706" s="10"/>
      <c r="N706" s="12"/>
    </row>
    <row r="707" spans="3:14" ht="14.5">
      <c r="C707" s="10"/>
      <c r="J707" s="10"/>
      <c r="N707" s="12"/>
    </row>
    <row r="708" spans="3:14" ht="14.5">
      <c r="C708" s="10"/>
      <c r="J708" s="10"/>
      <c r="N708" s="12"/>
    </row>
    <row r="709" spans="3:14" ht="14.5">
      <c r="C709" s="10"/>
      <c r="J709" s="10"/>
      <c r="N709" s="12"/>
    </row>
    <row r="710" spans="3:14" ht="14.5">
      <c r="C710" s="10"/>
      <c r="J710" s="10"/>
      <c r="N710" s="12"/>
    </row>
    <row r="711" spans="3:14" ht="14.5">
      <c r="C711" s="10"/>
      <c r="J711" s="10"/>
      <c r="N711" s="12"/>
    </row>
    <row r="712" spans="3:14" ht="14.5">
      <c r="C712" s="10"/>
      <c r="J712" s="10"/>
      <c r="N712" s="12"/>
    </row>
    <row r="713" spans="3:14" ht="14.5">
      <c r="C713" s="10"/>
      <c r="J713" s="10"/>
      <c r="N713" s="12"/>
    </row>
    <row r="714" spans="3:14" ht="14.5">
      <c r="C714" s="10"/>
      <c r="J714" s="10"/>
      <c r="N714" s="12"/>
    </row>
    <row r="715" spans="3:14" ht="14.5">
      <c r="C715" s="10"/>
      <c r="J715" s="10"/>
      <c r="N715" s="12"/>
    </row>
    <row r="716" spans="3:14" ht="14.5">
      <c r="C716" s="10"/>
      <c r="J716" s="10"/>
      <c r="N716" s="12"/>
    </row>
    <row r="717" spans="3:14" ht="14.5">
      <c r="C717" s="10"/>
      <c r="J717" s="10"/>
      <c r="N717" s="12"/>
    </row>
    <row r="718" spans="3:14" ht="14.5">
      <c r="C718" s="10"/>
      <c r="J718" s="10"/>
      <c r="N718" s="12"/>
    </row>
    <row r="719" spans="3:14" ht="14.5">
      <c r="C719" s="10"/>
      <c r="J719" s="10"/>
      <c r="N719" s="12"/>
    </row>
    <row r="720" spans="3:14" ht="14.5">
      <c r="C720" s="10"/>
      <c r="J720" s="10"/>
      <c r="N720" s="12"/>
    </row>
    <row r="721" spans="3:14" ht="14.5">
      <c r="C721" s="10"/>
      <c r="J721" s="10"/>
      <c r="N721" s="12"/>
    </row>
    <row r="722" spans="3:14" ht="14.5">
      <c r="C722" s="10"/>
      <c r="J722" s="10"/>
      <c r="N722" s="12"/>
    </row>
    <row r="723" spans="3:14" ht="14.5">
      <c r="C723" s="10"/>
      <c r="J723" s="10"/>
      <c r="N723" s="12"/>
    </row>
    <row r="724" spans="3:14" ht="14.5">
      <c r="C724" s="10"/>
      <c r="J724" s="10"/>
      <c r="N724" s="12"/>
    </row>
    <row r="725" spans="3:14" ht="14.5">
      <c r="C725" s="10"/>
      <c r="J725" s="10"/>
      <c r="N725" s="12"/>
    </row>
    <row r="726" spans="3:14" ht="14.5">
      <c r="C726" s="10"/>
      <c r="J726" s="10"/>
      <c r="N726" s="12"/>
    </row>
    <row r="727" spans="3:14" ht="14.5">
      <c r="C727" s="10"/>
      <c r="J727" s="10"/>
      <c r="N727" s="12"/>
    </row>
    <row r="728" spans="3:14" ht="14.5">
      <c r="C728" s="10"/>
      <c r="J728" s="10"/>
      <c r="N728" s="12"/>
    </row>
    <row r="729" spans="3:14" ht="14.5">
      <c r="C729" s="10"/>
      <c r="J729" s="10"/>
      <c r="N729" s="12"/>
    </row>
    <row r="730" spans="3:14" ht="14.5">
      <c r="C730" s="10"/>
      <c r="J730" s="10"/>
      <c r="N730" s="12"/>
    </row>
    <row r="731" spans="3:14" ht="14.5">
      <c r="C731" s="10"/>
      <c r="J731" s="10"/>
      <c r="N731" s="12"/>
    </row>
    <row r="732" spans="3:14" ht="14.5">
      <c r="C732" s="10"/>
      <c r="J732" s="10"/>
      <c r="N732" s="12"/>
    </row>
    <row r="733" spans="3:14" ht="14.5">
      <c r="C733" s="10"/>
      <c r="J733" s="10"/>
      <c r="N733" s="12"/>
    </row>
    <row r="734" spans="3:14" ht="14.5">
      <c r="C734" s="10"/>
      <c r="J734" s="10"/>
      <c r="N734" s="12"/>
    </row>
    <row r="735" spans="3:14" ht="14.5">
      <c r="C735" s="10"/>
      <c r="J735" s="10"/>
      <c r="N735" s="12"/>
    </row>
    <row r="736" spans="3:14" ht="14.5">
      <c r="C736" s="10"/>
      <c r="J736" s="10"/>
      <c r="N736" s="12"/>
    </row>
    <row r="737" spans="3:14" ht="14.5">
      <c r="C737" s="10"/>
      <c r="J737" s="10"/>
      <c r="N737" s="12"/>
    </row>
    <row r="738" spans="3:14" ht="14.5">
      <c r="C738" s="10"/>
      <c r="J738" s="10"/>
      <c r="N738" s="12"/>
    </row>
    <row r="739" spans="3:14" ht="14.5">
      <c r="C739" s="10"/>
      <c r="J739" s="10"/>
      <c r="N739" s="12"/>
    </row>
    <row r="740" spans="3:14" ht="14.5">
      <c r="C740" s="10"/>
      <c r="J740" s="10"/>
      <c r="N740" s="12"/>
    </row>
    <row r="741" spans="3:14" ht="14.5">
      <c r="C741" s="10"/>
      <c r="J741" s="10"/>
      <c r="N741" s="12"/>
    </row>
    <row r="742" spans="3:14" ht="14.5">
      <c r="C742" s="10"/>
      <c r="J742" s="10"/>
      <c r="N742" s="12"/>
    </row>
    <row r="743" spans="3:14" ht="14.5">
      <c r="C743" s="10"/>
      <c r="J743" s="10"/>
      <c r="N743" s="12"/>
    </row>
    <row r="744" spans="3:14" ht="14.5">
      <c r="C744" s="10"/>
      <c r="J744" s="10"/>
      <c r="N744" s="12"/>
    </row>
    <row r="745" spans="3:14" ht="14.5">
      <c r="C745" s="10"/>
      <c r="J745" s="10"/>
      <c r="N745" s="12"/>
    </row>
    <row r="746" spans="3:14" ht="14.5">
      <c r="C746" s="10"/>
      <c r="J746" s="10"/>
      <c r="N746" s="12"/>
    </row>
    <row r="747" spans="3:14" ht="14.5">
      <c r="C747" s="10"/>
      <c r="J747" s="10"/>
      <c r="N747" s="12"/>
    </row>
    <row r="748" spans="3:14" ht="14.5">
      <c r="C748" s="10"/>
      <c r="J748" s="10"/>
      <c r="N748" s="12"/>
    </row>
    <row r="749" spans="3:14" ht="14.5">
      <c r="C749" s="10"/>
      <c r="J749" s="10"/>
      <c r="N749" s="12"/>
    </row>
    <row r="750" spans="3:14" ht="14.5">
      <c r="C750" s="10"/>
      <c r="J750" s="10"/>
      <c r="N750" s="12"/>
    </row>
    <row r="751" spans="3:14" ht="14.5">
      <c r="C751" s="10"/>
      <c r="J751" s="10"/>
      <c r="N751" s="12"/>
    </row>
    <row r="752" spans="3:14" ht="14.5">
      <c r="C752" s="10"/>
      <c r="J752" s="10"/>
      <c r="N752" s="12"/>
    </row>
    <row r="753" spans="3:14" ht="14.5">
      <c r="C753" s="10"/>
      <c r="J753" s="10"/>
      <c r="N753" s="12"/>
    </row>
    <row r="754" spans="3:14" ht="14.5">
      <c r="C754" s="10"/>
      <c r="J754" s="10"/>
      <c r="N754" s="12"/>
    </row>
    <row r="755" spans="3:14" ht="14.5">
      <c r="C755" s="10"/>
      <c r="J755" s="10"/>
      <c r="N755" s="12"/>
    </row>
    <row r="756" spans="3:14" ht="14.5">
      <c r="C756" s="10"/>
      <c r="J756" s="10"/>
      <c r="N756" s="12"/>
    </row>
    <row r="757" spans="3:14" ht="14.5">
      <c r="C757" s="10"/>
      <c r="J757" s="10"/>
      <c r="N757" s="12"/>
    </row>
    <row r="758" spans="3:14" ht="14.5">
      <c r="C758" s="10"/>
      <c r="J758" s="10"/>
      <c r="N758" s="12"/>
    </row>
    <row r="759" spans="3:14" ht="14.5">
      <c r="C759" s="10"/>
      <c r="J759" s="10"/>
      <c r="N759" s="12"/>
    </row>
    <row r="760" spans="3:14" ht="14.5">
      <c r="C760" s="10"/>
      <c r="J760" s="10"/>
      <c r="N760" s="12"/>
    </row>
    <row r="761" spans="3:14" ht="14.5">
      <c r="C761" s="10"/>
      <c r="J761" s="10"/>
      <c r="N761" s="12"/>
    </row>
    <row r="762" spans="3:14" ht="14.5">
      <c r="C762" s="10"/>
      <c r="J762" s="10"/>
      <c r="N762" s="12"/>
    </row>
    <row r="763" spans="3:14" ht="14.5">
      <c r="C763" s="10"/>
      <c r="J763" s="10"/>
      <c r="N763" s="12"/>
    </row>
    <row r="764" spans="3:14" ht="14.5">
      <c r="C764" s="10"/>
      <c r="J764" s="10"/>
      <c r="N764" s="12"/>
    </row>
    <row r="765" spans="3:14" ht="14.5">
      <c r="C765" s="10"/>
      <c r="J765" s="10"/>
      <c r="N765" s="12"/>
    </row>
    <row r="766" spans="3:14" ht="14.5">
      <c r="C766" s="10"/>
      <c r="J766" s="10"/>
      <c r="N766" s="12"/>
    </row>
    <row r="767" spans="3:14" ht="14.5">
      <c r="C767" s="10"/>
      <c r="J767" s="10"/>
      <c r="N767" s="12"/>
    </row>
    <row r="768" spans="3:14" ht="14.5">
      <c r="C768" s="10"/>
      <c r="J768" s="10"/>
      <c r="N768" s="12"/>
    </row>
    <row r="769" spans="3:14" ht="14.5">
      <c r="C769" s="10"/>
      <c r="J769" s="10"/>
      <c r="N769" s="12"/>
    </row>
    <row r="770" spans="3:14" ht="14.5">
      <c r="C770" s="10"/>
      <c r="J770" s="10"/>
      <c r="N770" s="12"/>
    </row>
    <row r="771" spans="3:14" ht="14.5">
      <c r="C771" s="10"/>
      <c r="J771" s="10"/>
      <c r="N771" s="12"/>
    </row>
    <row r="772" spans="3:14" ht="14.5">
      <c r="C772" s="10"/>
      <c r="J772" s="10"/>
      <c r="N772" s="12"/>
    </row>
    <row r="773" spans="3:14" ht="14.5">
      <c r="C773" s="10"/>
      <c r="J773" s="10"/>
      <c r="N773" s="12"/>
    </row>
    <row r="774" spans="3:14" ht="14.5">
      <c r="C774" s="10"/>
      <c r="J774" s="10"/>
      <c r="N774" s="12"/>
    </row>
    <row r="775" spans="3:14" ht="14.5">
      <c r="C775" s="10"/>
      <c r="J775" s="10"/>
      <c r="N775" s="12"/>
    </row>
    <row r="776" spans="3:14" ht="14.5">
      <c r="C776" s="10"/>
      <c r="J776" s="10"/>
      <c r="N776" s="12"/>
    </row>
    <row r="777" spans="3:14" ht="14.5">
      <c r="C777" s="10"/>
      <c r="J777" s="10"/>
      <c r="N777" s="12"/>
    </row>
    <row r="778" spans="3:14" ht="14.5">
      <c r="C778" s="10"/>
      <c r="J778" s="10"/>
      <c r="N778" s="12"/>
    </row>
    <row r="779" spans="3:14" ht="14.5">
      <c r="C779" s="10"/>
      <c r="J779" s="10"/>
      <c r="N779" s="12"/>
    </row>
    <row r="780" spans="3:14" ht="14.5">
      <c r="C780" s="10"/>
      <c r="J780" s="10"/>
      <c r="N780" s="12"/>
    </row>
    <row r="781" spans="3:14" ht="14.5">
      <c r="C781" s="10"/>
      <c r="J781" s="10"/>
      <c r="N781" s="12"/>
    </row>
    <row r="782" spans="3:14" ht="14.5">
      <c r="C782" s="10"/>
      <c r="J782" s="10"/>
      <c r="N782" s="12"/>
    </row>
    <row r="783" spans="3:14" ht="14.5">
      <c r="C783" s="10"/>
      <c r="J783" s="10"/>
      <c r="N783" s="12"/>
    </row>
    <row r="784" spans="3:14" ht="14.5">
      <c r="C784" s="10"/>
      <c r="J784" s="10"/>
      <c r="N784" s="12"/>
    </row>
    <row r="785" spans="3:14" ht="14.5">
      <c r="C785" s="10"/>
      <c r="J785" s="10"/>
      <c r="N785" s="12"/>
    </row>
    <row r="786" spans="3:14" ht="14.5">
      <c r="C786" s="10"/>
      <c r="J786" s="10"/>
      <c r="N786" s="12"/>
    </row>
    <row r="787" spans="3:14" ht="14.5">
      <c r="C787" s="10"/>
      <c r="J787" s="10"/>
      <c r="N787" s="12"/>
    </row>
    <row r="788" spans="3:14" ht="14.5">
      <c r="C788" s="10"/>
      <c r="J788" s="10"/>
      <c r="N788" s="12"/>
    </row>
    <row r="789" spans="3:14" ht="14.5">
      <c r="C789" s="10"/>
      <c r="J789" s="10"/>
      <c r="N789" s="12"/>
    </row>
    <row r="790" spans="3:14" ht="14.5">
      <c r="C790" s="10"/>
      <c r="J790" s="10"/>
      <c r="N790" s="12"/>
    </row>
    <row r="791" spans="3:14" ht="14.5">
      <c r="C791" s="10"/>
      <c r="J791" s="10"/>
      <c r="N791" s="12"/>
    </row>
    <row r="792" spans="3:14" ht="14.5">
      <c r="C792" s="10"/>
      <c r="J792" s="10"/>
      <c r="N792" s="12"/>
    </row>
    <row r="793" spans="3:14" ht="14.5">
      <c r="C793" s="10"/>
      <c r="J793" s="10"/>
      <c r="N793" s="12"/>
    </row>
    <row r="794" spans="3:14" ht="14.5">
      <c r="C794" s="10"/>
      <c r="J794" s="10"/>
      <c r="N794" s="12"/>
    </row>
    <row r="795" spans="3:14" ht="14.5">
      <c r="C795" s="10"/>
      <c r="J795" s="10"/>
      <c r="N795" s="12"/>
    </row>
    <row r="796" spans="3:14" ht="14.5">
      <c r="C796" s="10"/>
      <c r="J796" s="10"/>
      <c r="N796" s="12"/>
    </row>
    <row r="797" spans="3:14" ht="14.5">
      <c r="C797" s="10"/>
      <c r="J797" s="10"/>
      <c r="N797" s="12"/>
    </row>
    <row r="798" spans="3:14" ht="14.5">
      <c r="C798" s="10"/>
      <c r="J798" s="10"/>
      <c r="N798" s="12"/>
    </row>
    <row r="799" spans="3:14" ht="14.5">
      <c r="C799" s="10"/>
      <c r="J799" s="10"/>
      <c r="N799" s="12"/>
    </row>
    <row r="800" spans="3:14" ht="14.5">
      <c r="C800" s="10"/>
      <c r="J800" s="10"/>
      <c r="N800" s="12"/>
    </row>
    <row r="801" spans="3:14" ht="14.5">
      <c r="C801" s="10"/>
      <c r="J801" s="10"/>
      <c r="N801" s="12"/>
    </row>
    <row r="802" spans="3:14" ht="14.5">
      <c r="C802" s="10"/>
      <c r="J802" s="10"/>
      <c r="N802" s="12"/>
    </row>
    <row r="803" spans="3:14" ht="14.5">
      <c r="C803" s="10"/>
      <c r="J803" s="10"/>
      <c r="N803" s="12"/>
    </row>
    <row r="804" spans="3:14" ht="14.5">
      <c r="C804" s="10"/>
      <c r="J804" s="10"/>
      <c r="N804" s="12"/>
    </row>
    <row r="805" spans="3:14" ht="14.5">
      <c r="C805" s="10"/>
      <c r="J805" s="10"/>
      <c r="N805" s="12"/>
    </row>
    <row r="806" spans="3:14" ht="14.5">
      <c r="C806" s="10"/>
      <c r="J806" s="10"/>
      <c r="N806" s="12"/>
    </row>
    <row r="807" spans="3:14" ht="14.5">
      <c r="C807" s="10"/>
      <c r="J807" s="10"/>
      <c r="N807" s="12"/>
    </row>
    <row r="808" spans="3:14" ht="14.5">
      <c r="C808" s="10"/>
      <c r="J808" s="10"/>
      <c r="N808" s="12"/>
    </row>
    <row r="809" spans="3:14" ht="14.5">
      <c r="C809" s="10"/>
      <c r="J809" s="10"/>
      <c r="N809" s="12"/>
    </row>
    <row r="810" spans="3:14" ht="14.5">
      <c r="C810" s="10"/>
      <c r="J810" s="10"/>
      <c r="N810" s="12"/>
    </row>
    <row r="811" spans="3:14" ht="14.5">
      <c r="C811" s="10"/>
      <c r="J811" s="10"/>
      <c r="N811" s="12"/>
    </row>
    <row r="812" spans="3:14" ht="14.5">
      <c r="C812" s="10"/>
      <c r="J812" s="10"/>
      <c r="N812" s="12"/>
    </row>
    <row r="813" spans="3:14" ht="14.5">
      <c r="C813" s="10"/>
      <c r="J813" s="10"/>
      <c r="N813" s="12"/>
    </row>
    <row r="814" spans="3:14" ht="14.5">
      <c r="C814" s="10"/>
      <c r="J814" s="10"/>
      <c r="N814" s="12"/>
    </row>
    <row r="815" spans="3:14" ht="14.5">
      <c r="C815" s="10"/>
      <c r="J815" s="10"/>
      <c r="N815" s="12"/>
    </row>
    <row r="816" spans="3:14" ht="14.5">
      <c r="C816" s="10"/>
      <c r="J816" s="10"/>
      <c r="N816" s="12"/>
    </row>
    <row r="817" spans="3:14" ht="14.5">
      <c r="C817" s="10"/>
      <c r="J817" s="10"/>
      <c r="N817" s="12"/>
    </row>
    <row r="818" spans="3:14" ht="14.5">
      <c r="C818" s="10"/>
      <c r="J818" s="10"/>
      <c r="N818" s="12"/>
    </row>
    <row r="819" spans="3:14" ht="14.5">
      <c r="C819" s="10"/>
      <c r="J819" s="10"/>
      <c r="N819" s="12"/>
    </row>
    <row r="820" spans="3:14" ht="14.5">
      <c r="C820" s="10"/>
      <c r="J820" s="10"/>
      <c r="N820" s="12"/>
    </row>
    <row r="821" spans="3:14" ht="14.5">
      <c r="C821" s="10"/>
      <c r="J821" s="10"/>
      <c r="N821" s="12"/>
    </row>
    <row r="822" spans="3:14" ht="14.5">
      <c r="C822" s="10"/>
      <c r="J822" s="10"/>
      <c r="N822" s="12"/>
    </row>
    <row r="823" spans="3:14" ht="14.5">
      <c r="C823" s="10"/>
      <c r="J823" s="10"/>
      <c r="N823" s="12"/>
    </row>
    <row r="824" spans="3:14" ht="14.5">
      <c r="C824" s="10"/>
      <c r="J824" s="10"/>
      <c r="N824" s="12"/>
    </row>
    <row r="825" spans="3:14" ht="14.5">
      <c r="C825" s="10"/>
      <c r="J825" s="10"/>
      <c r="N825" s="12"/>
    </row>
    <row r="826" spans="3:14" ht="14.5">
      <c r="C826" s="10"/>
      <c r="J826" s="10"/>
      <c r="N826" s="12"/>
    </row>
    <row r="827" spans="3:14" ht="14.5">
      <c r="C827" s="10"/>
      <c r="J827" s="10"/>
      <c r="N827" s="12"/>
    </row>
    <row r="828" spans="3:14" ht="14.5">
      <c r="C828" s="10"/>
      <c r="J828" s="10"/>
      <c r="N828" s="12"/>
    </row>
    <row r="829" spans="3:14" ht="14.5">
      <c r="C829" s="10"/>
      <c r="J829" s="10"/>
      <c r="N829" s="12"/>
    </row>
    <row r="830" spans="3:14" ht="14.5">
      <c r="C830" s="10"/>
      <c r="J830" s="10"/>
      <c r="N830" s="12"/>
    </row>
    <row r="831" spans="3:14" ht="14.5">
      <c r="C831" s="10"/>
      <c r="J831" s="10"/>
      <c r="N831" s="12"/>
    </row>
    <row r="832" spans="3:14" ht="14.5">
      <c r="C832" s="10"/>
      <c r="J832" s="10"/>
      <c r="N832" s="12"/>
    </row>
    <row r="833" spans="3:14" ht="14.5">
      <c r="C833" s="10"/>
      <c r="J833" s="10"/>
      <c r="N833" s="12"/>
    </row>
    <row r="834" spans="3:14" ht="14.5">
      <c r="C834" s="10"/>
      <c r="J834" s="10"/>
      <c r="N834" s="12"/>
    </row>
    <row r="835" spans="3:14" ht="14.5">
      <c r="C835" s="10"/>
      <c r="J835" s="10"/>
      <c r="N835" s="12"/>
    </row>
    <row r="836" spans="3:14" ht="14.5">
      <c r="C836" s="10"/>
      <c r="J836" s="10"/>
      <c r="N836" s="12"/>
    </row>
    <row r="837" spans="3:14" ht="14.5">
      <c r="C837" s="10"/>
      <c r="J837" s="10"/>
      <c r="N837" s="12"/>
    </row>
    <row r="838" spans="3:14" ht="14.5">
      <c r="C838" s="10"/>
      <c r="J838" s="10"/>
      <c r="N838" s="12"/>
    </row>
    <row r="839" spans="3:14" ht="14.5">
      <c r="C839" s="10"/>
      <c r="J839" s="10"/>
      <c r="N839" s="12"/>
    </row>
    <row r="840" spans="3:14" ht="14.5">
      <c r="C840" s="10"/>
      <c r="J840" s="10"/>
      <c r="N840" s="12"/>
    </row>
    <row r="841" spans="3:14" ht="14.5">
      <c r="C841" s="10"/>
      <c r="J841" s="10"/>
      <c r="N841" s="12"/>
    </row>
    <row r="842" spans="3:14" ht="14.5">
      <c r="C842" s="10"/>
      <c r="J842" s="10"/>
      <c r="N842" s="12"/>
    </row>
    <row r="843" spans="3:14" ht="14.5">
      <c r="C843" s="10"/>
      <c r="J843" s="10"/>
      <c r="N843" s="12"/>
    </row>
    <row r="844" spans="3:14" ht="14.5">
      <c r="C844" s="10"/>
      <c r="J844" s="10"/>
      <c r="N844" s="12"/>
    </row>
    <row r="845" spans="3:14" ht="14.5">
      <c r="C845" s="10"/>
      <c r="J845" s="10"/>
      <c r="N845" s="12"/>
    </row>
    <row r="846" spans="3:14" ht="14.5">
      <c r="C846" s="10"/>
      <c r="J846" s="10"/>
      <c r="N846" s="12"/>
    </row>
    <row r="847" spans="3:14" ht="14.5">
      <c r="C847" s="10"/>
      <c r="J847" s="10"/>
      <c r="N847" s="12"/>
    </row>
    <row r="848" spans="3:14" ht="14.5">
      <c r="C848" s="10"/>
      <c r="J848" s="10"/>
      <c r="N848" s="12"/>
    </row>
    <row r="849" spans="3:14" ht="14.5">
      <c r="C849" s="10"/>
      <c r="J849" s="10"/>
      <c r="N849" s="12"/>
    </row>
    <row r="850" spans="3:14" ht="14.5">
      <c r="C850" s="10"/>
      <c r="J850" s="10"/>
      <c r="N850" s="12"/>
    </row>
    <row r="851" spans="3:14" ht="14.5">
      <c r="C851" s="10"/>
      <c r="J851" s="10"/>
      <c r="N851" s="12"/>
    </row>
    <row r="852" spans="3:14" ht="14.5">
      <c r="C852" s="10"/>
      <c r="J852" s="10"/>
      <c r="N852" s="12"/>
    </row>
    <row r="853" spans="3:14" ht="14.5">
      <c r="C853" s="10"/>
      <c r="J853" s="10"/>
      <c r="N853" s="12"/>
    </row>
    <row r="854" spans="3:14" ht="14.5">
      <c r="C854" s="10"/>
      <c r="J854" s="10"/>
      <c r="N854" s="12"/>
    </row>
    <row r="855" spans="3:14" ht="14.5">
      <c r="C855" s="10"/>
      <c r="J855" s="10"/>
      <c r="N855" s="12"/>
    </row>
    <row r="856" spans="3:14" ht="14.5">
      <c r="C856" s="10"/>
      <c r="J856" s="10"/>
      <c r="N856" s="12"/>
    </row>
    <row r="857" spans="3:14" ht="14.5">
      <c r="C857" s="10"/>
      <c r="J857" s="10"/>
      <c r="N857" s="12"/>
    </row>
    <row r="858" spans="3:14" ht="14.5">
      <c r="C858" s="10"/>
      <c r="J858" s="10"/>
      <c r="N858" s="12"/>
    </row>
    <row r="859" spans="3:14" ht="14.5">
      <c r="C859" s="10"/>
      <c r="J859" s="10"/>
      <c r="N859" s="12"/>
    </row>
    <row r="860" spans="3:14" ht="14.5">
      <c r="C860" s="10"/>
      <c r="J860" s="10"/>
      <c r="N860" s="12"/>
    </row>
    <row r="861" spans="3:14" ht="14.5">
      <c r="C861" s="10"/>
      <c r="J861" s="10"/>
      <c r="N861" s="12"/>
    </row>
    <row r="862" spans="3:14" ht="14.5">
      <c r="C862" s="10"/>
      <c r="J862" s="10"/>
      <c r="N862" s="12"/>
    </row>
    <row r="863" spans="3:14" ht="14.5">
      <c r="C863" s="10"/>
      <c r="J863" s="10"/>
      <c r="N863" s="12"/>
    </row>
    <row r="864" spans="3:14" ht="14.5">
      <c r="C864" s="10"/>
      <c r="J864" s="10"/>
      <c r="N864" s="12"/>
    </row>
    <row r="865" spans="3:14" ht="14.5">
      <c r="C865" s="10"/>
      <c r="J865" s="10"/>
      <c r="N865" s="12"/>
    </row>
    <row r="866" spans="3:14" ht="14.5">
      <c r="C866" s="10"/>
      <c r="J866" s="10"/>
      <c r="N866" s="12"/>
    </row>
    <row r="867" spans="3:14" ht="14.5">
      <c r="C867" s="10"/>
      <c r="J867" s="10"/>
      <c r="N867" s="12"/>
    </row>
    <row r="868" spans="3:14" ht="14.5">
      <c r="C868" s="10"/>
      <c r="J868" s="10"/>
      <c r="N868" s="12"/>
    </row>
    <row r="869" spans="3:14" ht="14.5">
      <c r="C869" s="10"/>
      <c r="J869" s="10"/>
      <c r="N869" s="12"/>
    </row>
    <row r="870" spans="3:14" ht="14.5">
      <c r="C870" s="10"/>
      <c r="J870" s="10"/>
      <c r="N870" s="12"/>
    </row>
    <row r="871" spans="3:14" ht="14.5">
      <c r="C871" s="10"/>
      <c r="J871" s="10"/>
      <c r="N871" s="12"/>
    </row>
    <row r="872" spans="3:14" ht="14.5">
      <c r="C872" s="10"/>
      <c r="J872" s="10"/>
      <c r="N872" s="12"/>
    </row>
    <row r="873" spans="3:14" ht="14.5">
      <c r="C873" s="10"/>
      <c r="J873" s="10"/>
      <c r="N873" s="12"/>
    </row>
    <row r="874" spans="3:14" ht="14.5">
      <c r="C874" s="10"/>
      <c r="J874" s="10"/>
      <c r="N874" s="12"/>
    </row>
    <row r="875" spans="3:14" ht="14.5">
      <c r="C875" s="10"/>
      <c r="J875" s="10"/>
      <c r="N875" s="12"/>
    </row>
    <row r="876" spans="3:14" ht="14.5">
      <c r="C876" s="10"/>
      <c r="J876" s="10"/>
      <c r="N876" s="12"/>
    </row>
    <row r="877" spans="3:14" ht="14.5">
      <c r="C877" s="10"/>
      <c r="J877" s="10"/>
      <c r="N877" s="12"/>
    </row>
    <row r="878" spans="3:14" ht="14.5">
      <c r="C878" s="10"/>
      <c r="J878" s="10"/>
      <c r="N878" s="12"/>
    </row>
    <row r="879" spans="3:14" ht="14.5">
      <c r="C879" s="10"/>
      <c r="J879" s="10"/>
      <c r="N879" s="12"/>
    </row>
    <row r="880" spans="3:14" ht="14.5">
      <c r="C880" s="10"/>
      <c r="J880" s="10"/>
      <c r="N880" s="12"/>
    </row>
    <row r="881" spans="3:14" ht="14.5">
      <c r="C881" s="10"/>
      <c r="J881" s="10"/>
      <c r="N881" s="12"/>
    </row>
    <row r="882" spans="3:14" ht="14.5">
      <c r="C882" s="10"/>
      <c r="J882" s="10"/>
      <c r="N882" s="12"/>
    </row>
    <row r="883" spans="3:14" ht="14.5">
      <c r="C883" s="10"/>
      <c r="J883" s="10"/>
      <c r="N883" s="12"/>
    </row>
    <row r="884" spans="3:14" ht="14.5">
      <c r="C884" s="10"/>
      <c r="J884" s="10"/>
      <c r="N884" s="12"/>
    </row>
    <row r="885" spans="3:14" ht="14.5">
      <c r="C885" s="10"/>
      <c r="J885" s="10"/>
      <c r="N885" s="12"/>
    </row>
    <row r="886" spans="3:14" ht="14.5">
      <c r="C886" s="10"/>
      <c r="J886" s="10"/>
      <c r="N886" s="12"/>
    </row>
    <row r="887" spans="3:14" ht="14.5">
      <c r="C887" s="10"/>
      <c r="J887" s="10"/>
      <c r="N887" s="12"/>
    </row>
    <row r="888" spans="3:14" ht="14.5">
      <c r="C888" s="10"/>
      <c r="J888" s="10"/>
      <c r="N888" s="12"/>
    </row>
    <row r="889" spans="3:14" ht="14.5">
      <c r="C889" s="10"/>
      <c r="J889" s="10"/>
      <c r="N889" s="12"/>
    </row>
    <row r="890" spans="3:14" ht="14.5">
      <c r="C890" s="10"/>
      <c r="J890" s="10"/>
      <c r="N890" s="12"/>
    </row>
    <row r="891" spans="3:14" ht="14.5">
      <c r="C891" s="10"/>
      <c r="J891" s="10"/>
      <c r="N891" s="12"/>
    </row>
    <row r="892" spans="3:14" ht="14.5">
      <c r="C892" s="10"/>
      <c r="J892" s="10"/>
      <c r="N892" s="12"/>
    </row>
    <row r="893" spans="3:14" ht="14.5">
      <c r="C893" s="10"/>
      <c r="J893" s="10"/>
      <c r="N893" s="12"/>
    </row>
    <row r="894" spans="3:14" ht="14.5">
      <c r="C894" s="10"/>
      <c r="J894" s="10"/>
      <c r="N894" s="12"/>
    </row>
    <row r="895" spans="3:14" ht="14.5">
      <c r="C895" s="10"/>
      <c r="J895" s="10"/>
      <c r="N895" s="12"/>
    </row>
    <row r="896" spans="3:14" ht="14.5">
      <c r="C896" s="10"/>
      <c r="J896" s="10"/>
      <c r="N896" s="12"/>
    </row>
    <row r="897" spans="3:14" ht="14.5">
      <c r="C897" s="10"/>
      <c r="J897" s="10"/>
      <c r="N897" s="12"/>
    </row>
    <row r="898" spans="3:14" ht="14.5">
      <c r="C898" s="10"/>
      <c r="J898" s="10"/>
      <c r="N898" s="12"/>
    </row>
    <row r="899" spans="3:14" ht="14.5">
      <c r="C899" s="10"/>
      <c r="J899" s="10"/>
      <c r="N899" s="12"/>
    </row>
    <row r="900" spans="3:14" ht="14.5">
      <c r="C900" s="10"/>
      <c r="J900" s="10"/>
      <c r="N900" s="12"/>
    </row>
    <row r="901" spans="3:14" ht="14.5">
      <c r="C901" s="10"/>
      <c r="J901" s="10"/>
      <c r="N901" s="12"/>
    </row>
    <row r="902" spans="3:14" ht="14.5">
      <c r="C902" s="10"/>
      <c r="J902" s="10"/>
      <c r="N902" s="12"/>
    </row>
    <row r="903" spans="3:14" ht="14.5">
      <c r="C903" s="10"/>
      <c r="J903" s="10"/>
      <c r="N903" s="12"/>
    </row>
    <row r="904" spans="3:14" ht="14.5">
      <c r="C904" s="10"/>
      <c r="J904" s="10"/>
      <c r="N904" s="12"/>
    </row>
    <row r="905" spans="3:14" ht="14.5">
      <c r="C905" s="10"/>
      <c r="J905" s="10"/>
      <c r="N905" s="12"/>
    </row>
    <row r="906" spans="3:14" ht="14.5">
      <c r="C906" s="10"/>
      <c r="J906" s="10"/>
      <c r="N906" s="12"/>
    </row>
    <row r="907" spans="3:14" ht="14.5">
      <c r="C907" s="10"/>
      <c r="J907" s="10"/>
      <c r="N907" s="12"/>
    </row>
    <row r="908" spans="3:14" ht="14.5">
      <c r="C908" s="10"/>
      <c r="J908" s="10"/>
      <c r="N908" s="12"/>
    </row>
    <row r="909" spans="3:14" ht="14.5">
      <c r="C909" s="10"/>
      <c r="J909" s="10"/>
      <c r="N909" s="12"/>
    </row>
    <row r="910" spans="3:14" ht="14.5">
      <c r="C910" s="10"/>
      <c r="J910" s="10"/>
      <c r="N910" s="12"/>
    </row>
    <row r="911" spans="3:14" ht="14.5">
      <c r="C911" s="10"/>
      <c r="J911" s="10"/>
      <c r="N911" s="12"/>
    </row>
    <row r="912" spans="3:14" ht="14.5">
      <c r="C912" s="10"/>
      <c r="J912" s="10"/>
      <c r="N912" s="12"/>
    </row>
    <row r="913" spans="3:14" ht="14.5">
      <c r="C913" s="10"/>
      <c r="J913" s="10"/>
      <c r="N913" s="12"/>
    </row>
    <row r="914" spans="3:14" ht="14.5">
      <c r="C914" s="10"/>
      <c r="J914" s="10"/>
      <c r="N914" s="12"/>
    </row>
    <row r="915" spans="3:14" ht="14.5">
      <c r="C915" s="10"/>
      <c r="J915" s="10"/>
      <c r="N915" s="12"/>
    </row>
    <row r="916" spans="3:14" ht="14.5">
      <c r="C916" s="10"/>
      <c r="J916" s="10"/>
      <c r="N916" s="12"/>
    </row>
    <row r="917" spans="3:14" ht="14.5">
      <c r="C917" s="10"/>
      <c r="J917" s="10"/>
      <c r="N917" s="12"/>
    </row>
    <row r="918" spans="3:14" ht="14.5">
      <c r="C918" s="10"/>
      <c r="J918" s="10"/>
      <c r="N918" s="12"/>
    </row>
    <row r="919" spans="3:14" ht="14.5">
      <c r="C919" s="10"/>
      <c r="J919" s="10"/>
      <c r="N919" s="12"/>
    </row>
    <row r="920" spans="3:14" ht="14.5">
      <c r="C920" s="10"/>
      <c r="J920" s="10"/>
      <c r="N920" s="12"/>
    </row>
    <row r="921" spans="3:14" ht="14.5">
      <c r="C921" s="10"/>
      <c r="J921" s="10"/>
      <c r="N921" s="12"/>
    </row>
    <row r="922" spans="3:14" ht="14.5">
      <c r="C922" s="10"/>
      <c r="J922" s="10"/>
      <c r="N922" s="12"/>
    </row>
    <row r="923" spans="3:14" ht="14.5">
      <c r="C923" s="10"/>
      <c r="J923" s="10"/>
      <c r="N923" s="12"/>
    </row>
    <row r="924" spans="3:14" ht="14.5">
      <c r="C924" s="10"/>
      <c r="J924" s="10"/>
      <c r="N924" s="12"/>
    </row>
    <row r="925" spans="3:14" ht="14.5">
      <c r="C925" s="10"/>
      <c r="J925" s="10"/>
      <c r="N925" s="12"/>
    </row>
    <row r="926" spans="3:14" ht="14.5">
      <c r="C926" s="10"/>
      <c r="J926" s="10"/>
      <c r="N926" s="12"/>
    </row>
    <row r="927" spans="3:14" ht="14.5">
      <c r="C927" s="10"/>
      <c r="J927" s="10"/>
      <c r="N927" s="12"/>
    </row>
    <row r="928" spans="3:14" ht="14.5">
      <c r="C928" s="10"/>
      <c r="J928" s="10"/>
      <c r="N928" s="12"/>
    </row>
    <row r="929" spans="3:14" ht="14.5">
      <c r="C929" s="10"/>
      <c r="J929" s="10"/>
      <c r="N929" s="12"/>
    </row>
    <row r="930" spans="3:14" ht="14.5">
      <c r="C930" s="10"/>
      <c r="J930" s="10"/>
      <c r="N930" s="12"/>
    </row>
    <row r="931" spans="3:14" ht="14.5">
      <c r="C931" s="10"/>
      <c r="J931" s="10"/>
      <c r="N931" s="12"/>
    </row>
    <row r="932" spans="3:14" ht="14.5">
      <c r="C932" s="10"/>
      <c r="J932" s="10"/>
      <c r="N932" s="12"/>
    </row>
    <row r="933" spans="3:14" ht="14.5">
      <c r="C933" s="10"/>
      <c r="J933" s="10"/>
      <c r="N933" s="12"/>
    </row>
    <row r="934" spans="3:14" ht="14.5">
      <c r="C934" s="10"/>
      <c r="J934" s="10"/>
      <c r="N934" s="12"/>
    </row>
    <row r="935" spans="3:14" ht="14.5">
      <c r="C935" s="10"/>
      <c r="J935" s="10"/>
      <c r="N935" s="12"/>
    </row>
    <row r="936" spans="3:14" ht="14.5">
      <c r="C936" s="10"/>
      <c r="J936" s="10"/>
      <c r="N936" s="12"/>
    </row>
    <row r="937" spans="3:14" ht="14.5">
      <c r="C937" s="10"/>
      <c r="J937" s="10"/>
      <c r="N937" s="12"/>
    </row>
    <row r="938" spans="3:14" ht="14.5">
      <c r="C938" s="10"/>
      <c r="J938" s="10"/>
      <c r="N938" s="12"/>
    </row>
    <row r="939" spans="3:14" ht="14.5">
      <c r="C939" s="10"/>
      <c r="J939" s="10"/>
      <c r="N939" s="12"/>
    </row>
    <row r="940" spans="3:14" ht="14.5">
      <c r="C940" s="10"/>
      <c r="J940" s="10"/>
      <c r="N940" s="12"/>
    </row>
    <row r="941" spans="3:14" ht="14.5">
      <c r="C941" s="10"/>
      <c r="J941" s="10"/>
      <c r="N941" s="12"/>
    </row>
    <row r="942" spans="3:14" ht="14.5">
      <c r="C942" s="10"/>
      <c r="J942" s="10"/>
      <c r="N942" s="12"/>
    </row>
    <row r="943" spans="3:14" ht="14.5">
      <c r="C943" s="10"/>
      <c r="J943" s="10"/>
      <c r="N943" s="12"/>
    </row>
    <row r="944" spans="3:14" ht="14.5">
      <c r="C944" s="10"/>
      <c r="J944" s="10"/>
      <c r="N944" s="12"/>
    </row>
    <row r="945" spans="3:14" ht="14.5">
      <c r="C945" s="10"/>
      <c r="J945" s="10"/>
      <c r="N945" s="12"/>
    </row>
    <row r="946" spans="3:14" ht="14.5">
      <c r="C946" s="10"/>
      <c r="J946" s="10"/>
      <c r="N946" s="12"/>
    </row>
    <row r="947" spans="3:14" ht="14.5">
      <c r="C947" s="10"/>
      <c r="J947" s="10"/>
      <c r="N947" s="12"/>
    </row>
    <row r="948" spans="3:14" ht="14.5">
      <c r="C948" s="10"/>
      <c r="J948" s="10"/>
      <c r="N948" s="12"/>
    </row>
    <row r="949" spans="3:14" ht="14.5">
      <c r="C949" s="10"/>
      <c r="J949" s="10"/>
      <c r="N949" s="12"/>
    </row>
    <row r="950" spans="3:14" ht="14.5">
      <c r="C950" s="10"/>
      <c r="J950" s="10"/>
      <c r="N950" s="12"/>
    </row>
    <row r="951" spans="3:14" ht="14.5">
      <c r="C951" s="10"/>
      <c r="J951" s="10"/>
      <c r="N951" s="12"/>
    </row>
    <row r="952" spans="3:14" ht="14.5">
      <c r="C952" s="10"/>
      <c r="J952" s="10"/>
      <c r="N952" s="12"/>
    </row>
    <row r="953" spans="3:14" ht="14.5">
      <c r="C953" s="10"/>
      <c r="J953" s="10"/>
      <c r="N953" s="12"/>
    </row>
    <row r="954" spans="3:14" ht="14.5">
      <c r="C954" s="10"/>
      <c r="J954" s="10"/>
      <c r="N954" s="12"/>
    </row>
    <row r="955" spans="3:14" ht="14.5">
      <c r="C955" s="10"/>
      <c r="J955" s="10"/>
      <c r="N955" s="12"/>
    </row>
    <row r="956" spans="3:14" ht="14.5">
      <c r="C956" s="10"/>
      <c r="J956" s="10"/>
      <c r="N956" s="12"/>
    </row>
    <row r="957" spans="3:14" ht="14.5">
      <c r="C957" s="10"/>
      <c r="J957" s="10"/>
      <c r="N957" s="12"/>
    </row>
    <row r="958" spans="3:14" ht="14.5">
      <c r="C958" s="10"/>
      <c r="J958" s="10"/>
      <c r="N958" s="12"/>
    </row>
    <row r="959" spans="3:14" ht="14.5">
      <c r="C959" s="10"/>
      <c r="J959" s="10"/>
      <c r="N959" s="12"/>
    </row>
    <row r="960" spans="3:14" ht="14.5">
      <c r="C960" s="10"/>
      <c r="J960" s="10"/>
      <c r="N960" s="12"/>
    </row>
    <row r="961" spans="3:14" ht="14.5">
      <c r="C961" s="10"/>
      <c r="J961" s="10"/>
      <c r="N961" s="12"/>
    </row>
    <row r="962" spans="3:14" ht="14.5">
      <c r="C962" s="10"/>
      <c r="J962" s="10"/>
      <c r="N962" s="12"/>
    </row>
    <row r="963" spans="3:14" ht="14.5">
      <c r="C963" s="10"/>
      <c r="J963" s="10"/>
      <c r="N963" s="12"/>
    </row>
    <row r="964" spans="3:14" ht="14.5">
      <c r="C964" s="10"/>
      <c r="J964" s="10"/>
      <c r="N964" s="12"/>
    </row>
    <row r="965" spans="3:14" ht="14.5">
      <c r="C965" s="10"/>
      <c r="J965" s="10"/>
      <c r="N965" s="12"/>
    </row>
    <row r="966" spans="3:14" ht="14.5">
      <c r="C966" s="10"/>
      <c r="J966" s="10"/>
      <c r="N966" s="12"/>
    </row>
    <row r="967" spans="3:14" ht="14.5">
      <c r="C967" s="10"/>
      <c r="J967" s="10"/>
      <c r="N967" s="12"/>
    </row>
    <row r="968" spans="3:14" ht="14.5">
      <c r="C968" s="10"/>
      <c r="J968" s="10"/>
      <c r="N968" s="12"/>
    </row>
    <row r="969" spans="3:14" ht="14.5">
      <c r="C969" s="10"/>
      <c r="J969" s="10"/>
      <c r="N969" s="12"/>
    </row>
    <row r="970" spans="3:14" ht="14.5">
      <c r="C970" s="10"/>
      <c r="J970" s="10"/>
      <c r="N970" s="12"/>
    </row>
    <row r="971" spans="3:14" ht="14.5">
      <c r="C971" s="10"/>
      <c r="J971" s="10"/>
      <c r="N971" s="12"/>
    </row>
    <row r="972" spans="3:14" ht="14.5">
      <c r="C972" s="10"/>
      <c r="J972" s="10"/>
      <c r="N972" s="12"/>
    </row>
    <row r="973" spans="3:14" ht="14.5">
      <c r="C973" s="10"/>
      <c r="J973" s="10"/>
      <c r="N973" s="12"/>
    </row>
    <row r="974" spans="3:14" ht="14.5">
      <c r="C974" s="10"/>
      <c r="J974" s="10"/>
      <c r="N974" s="12"/>
    </row>
    <row r="975" spans="3:14" ht="14.5">
      <c r="C975" s="10"/>
      <c r="J975" s="10"/>
      <c r="N975" s="12"/>
    </row>
    <row r="976" spans="3:14" ht="14.5">
      <c r="C976" s="10"/>
      <c r="J976" s="10"/>
      <c r="N976" s="12"/>
    </row>
    <row r="977" spans="3:14" ht="14.5">
      <c r="C977" s="10"/>
      <c r="J977" s="10"/>
      <c r="N977" s="12"/>
    </row>
    <row r="978" spans="3:14" ht="14.5">
      <c r="C978" s="10"/>
      <c r="J978" s="10"/>
      <c r="N978" s="12"/>
    </row>
    <row r="979" spans="3:14" ht="14.5">
      <c r="C979" s="10"/>
      <c r="J979" s="10"/>
      <c r="N979" s="12"/>
    </row>
    <row r="980" spans="3:14" ht="14.5">
      <c r="C980" s="10"/>
      <c r="J980" s="10"/>
      <c r="N980" s="12"/>
    </row>
    <row r="981" spans="3:14" ht="14.5">
      <c r="C981" s="10"/>
      <c r="J981" s="10"/>
      <c r="N981" s="12"/>
    </row>
    <row r="982" spans="3:14" ht="14.5">
      <c r="C982" s="10"/>
      <c r="J982" s="10"/>
      <c r="N982" s="12"/>
    </row>
    <row r="983" spans="3:14" ht="14.5">
      <c r="C983" s="10"/>
      <c r="J983" s="10"/>
      <c r="N983" s="12"/>
    </row>
    <row r="984" spans="3:14" ht="14.5">
      <c r="C984" s="10"/>
      <c r="J984" s="10"/>
      <c r="N984" s="12"/>
    </row>
    <row r="985" spans="3:14" ht="14.5">
      <c r="C985" s="10"/>
      <c r="J985" s="10"/>
      <c r="N985" s="12"/>
    </row>
    <row r="986" spans="3:14" ht="14.5">
      <c r="C986" s="10"/>
      <c r="J986" s="10"/>
      <c r="N986" s="12"/>
    </row>
    <row r="987" spans="3:14" ht="14.5">
      <c r="C987" s="10"/>
      <c r="J987" s="10"/>
      <c r="N987" s="12"/>
    </row>
    <row r="988" spans="3:14" ht="14.5">
      <c r="C988" s="10"/>
      <c r="J988" s="10"/>
      <c r="N988" s="12"/>
    </row>
    <row r="989" spans="3:14" ht="14.5">
      <c r="C989" s="10"/>
      <c r="J989" s="10"/>
      <c r="N989" s="12"/>
    </row>
    <row r="990" spans="3:14" ht="14.5">
      <c r="C990" s="10"/>
      <c r="J990" s="10"/>
      <c r="N990" s="12"/>
    </row>
    <row r="991" spans="3:14" ht="14.5">
      <c r="C991" s="10"/>
      <c r="J991" s="10"/>
      <c r="N991" s="12"/>
    </row>
    <row r="992" spans="3:14" ht="14.5">
      <c r="C992" s="10"/>
      <c r="J992" s="10"/>
      <c r="N992" s="12"/>
    </row>
    <row r="993" spans="3:14" ht="14.5">
      <c r="C993" s="10"/>
      <c r="J993" s="10"/>
      <c r="N993" s="12"/>
    </row>
    <row r="994" spans="3:14" ht="14.5">
      <c r="C994" s="10"/>
      <c r="J994" s="10"/>
      <c r="N994" s="12"/>
    </row>
    <row r="995" spans="3:14" ht="14.5">
      <c r="C995" s="10"/>
      <c r="J995" s="10"/>
      <c r="N995" s="12"/>
    </row>
    <row r="996" spans="3:14" ht="14.5">
      <c r="C996" s="10"/>
      <c r="J996" s="10"/>
      <c r="N996" s="12"/>
    </row>
    <row r="997" spans="3:14" ht="14.5">
      <c r="C997" s="10"/>
      <c r="J997" s="10"/>
      <c r="N997" s="12"/>
    </row>
    <row r="998" spans="3:14" ht="14.5">
      <c r="C998" s="10"/>
      <c r="J998" s="10"/>
      <c r="N998" s="12"/>
    </row>
    <row r="999" spans="3:14" ht="14.5">
      <c r="C999" s="10"/>
      <c r="J999" s="10"/>
      <c r="N999" s="12"/>
    </row>
    <row r="1000" spans="3:14" ht="14.5">
      <c r="C1000" s="10"/>
      <c r="J1000" s="10"/>
      <c r="N1000" s="12"/>
    </row>
    <row r="1001" spans="3:14" ht="14.5">
      <c r="C1001" s="10"/>
      <c r="J1001" s="10"/>
      <c r="N1001" s="12"/>
    </row>
    <row r="1002" spans="3:14" ht="14.5">
      <c r="C1002" s="10"/>
      <c r="J1002" s="10"/>
      <c r="N1002" s="12"/>
    </row>
    <row r="1003" spans="3:14" ht="14.5">
      <c r="C1003" s="10"/>
      <c r="J1003" s="10"/>
      <c r="N1003" s="12"/>
    </row>
    <row r="1004" spans="3:14" ht="14.5">
      <c r="C1004" s="10"/>
      <c r="J1004" s="10"/>
      <c r="N1004" s="12"/>
    </row>
    <row r="1005" spans="3:14" ht="14.5">
      <c r="C1005" s="10"/>
      <c r="J1005" s="10"/>
      <c r="N1005" s="12"/>
    </row>
    <row r="1006" spans="3:14" ht="14.5">
      <c r="C1006" s="10"/>
      <c r="J1006" s="10"/>
      <c r="N1006" s="12"/>
    </row>
    <row r="1007" spans="3:14" ht="14.5">
      <c r="C1007" s="10"/>
      <c r="J1007" s="10"/>
      <c r="N1007" s="12"/>
    </row>
    <row r="1008" spans="3:14" ht="14.5">
      <c r="C1008" s="10"/>
      <c r="J1008" s="10"/>
      <c r="N1008" s="12"/>
    </row>
    <row r="1009" spans="3:14" ht="14.5">
      <c r="C1009" s="10"/>
      <c r="J1009" s="10"/>
      <c r="N1009" s="12"/>
    </row>
    <row r="1010" spans="3:14" ht="14.5">
      <c r="C1010" s="10"/>
      <c r="J1010" s="10"/>
      <c r="N1010" s="12"/>
    </row>
    <row r="1011" spans="3:14" ht="14.5">
      <c r="C1011" s="10"/>
      <c r="J1011" s="10"/>
      <c r="N1011" s="12"/>
    </row>
    <row r="1012" spans="3:14" ht="14.5">
      <c r="C1012" s="10"/>
      <c r="J1012" s="10"/>
      <c r="N1012" s="12"/>
    </row>
    <row r="1013" spans="3:14" ht="14.5">
      <c r="C1013" s="10"/>
      <c r="J1013" s="10"/>
      <c r="N1013" s="12"/>
    </row>
    <row r="1014" spans="3:14" ht="14.5">
      <c r="C1014" s="10"/>
      <c r="J1014" s="10"/>
      <c r="N1014" s="12"/>
    </row>
    <row r="1015" spans="3:14" ht="14.5">
      <c r="C1015" s="10"/>
      <c r="J1015" s="10"/>
      <c r="N1015" s="12"/>
    </row>
    <row r="1016" spans="3:14" ht="14.5">
      <c r="C1016" s="10"/>
      <c r="J1016" s="10"/>
      <c r="N1016" s="12"/>
    </row>
    <row r="1017" spans="3:14" ht="14.5">
      <c r="C1017" s="10"/>
      <c r="J1017" s="10"/>
      <c r="N1017" s="12"/>
    </row>
    <row r="1018" spans="3:14" ht="14.5">
      <c r="C1018" s="10"/>
      <c r="J1018" s="10"/>
      <c r="N1018" s="12"/>
    </row>
    <row r="1019" spans="3:14" ht="14.5">
      <c r="C1019" s="10"/>
      <c r="J1019" s="10"/>
      <c r="N1019" s="12"/>
    </row>
    <row r="1020" spans="3:14" ht="14.5">
      <c r="C1020" s="10"/>
      <c r="J1020" s="10"/>
      <c r="N1020" s="12"/>
    </row>
    <row r="1021" spans="3:14" ht="14.5">
      <c r="C1021" s="10"/>
      <c r="J1021" s="10"/>
      <c r="N1021" s="12"/>
    </row>
    <row r="1022" spans="3:14" ht="14.5">
      <c r="C1022" s="10"/>
      <c r="J1022" s="10"/>
      <c r="N1022" s="12"/>
    </row>
    <row r="1023" spans="3:14" ht="14.5">
      <c r="C1023" s="10"/>
      <c r="J1023" s="10"/>
      <c r="N1023" s="12"/>
    </row>
    <row r="1024" spans="3:14" ht="14.5">
      <c r="C1024" s="10"/>
      <c r="J1024" s="10"/>
      <c r="N1024" s="12"/>
    </row>
    <row r="1025" spans="3:14" ht="14.5">
      <c r="C1025" s="10"/>
      <c r="J1025" s="10"/>
      <c r="N1025" s="12"/>
    </row>
    <row r="1026" spans="3:14" ht="14.5">
      <c r="C1026" s="10"/>
      <c r="J1026" s="10"/>
      <c r="N1026" s="12"/>
    </row>
    <row r="1027" spans="3:14" ht="14.5">
      <c r="C1027" s="10"/>
      <c r="J1027" s="10"/>
      <c r="N1027" s="12"/>
    </row>
    <row r="1028" spans="3:14" ht="14.5">
      <c r="C1028" s="10"/>
      <c r="J1028" s="10"/>
      <c r="N1028" s="12"/>
    </row>
    <row r="1029" spans="3:14" ht="14.5">
      <c r="C1029" s="10"/>
      <c r="J1029" s="10"/>
      <c r="N1029" s="12"/>
    </row>
    <row r="1030" spans="3:14" ht="14.5">
      <c r="C1030" s="10"/>
      <c r="J1030" s="10"/>
      <c r="N1030" s="12"/>
    </row>
    <row r="1031" spans="3:14" ht="14.5">
      <c r="C1031" s="10"/>
      <c r="J1031" s="10"/>
      <c r="N1031" s="12"/>
    </row>
    <row r="1032" spans="3:14" ht="14.5">
      <c r="C1032" s="10"/>
      <c r="J1032" s="10"/>
      <c r="N1032" s="12"/>
    </row>
    <row r="1033" spans="3:14" ht="14.5">
      <c r="C1033" s="10"/>
      <c r="J1033" s="10"/>
      <c r="N1033" s="12"/>
    </row>
    <row r="1034" spans="3:14" ht="14.5">
      <c r="C1034" s="10"/>
      <c r="J1034" s="10"/>
      <c r="N1034" s="12"/>
    </row>
    <row r="1035" spans="3:14" ht="14.5">
      <c r="C1035" s="10"/>
      <c r="J1035" s="10"/>
      <c r="N1035" s="12"/>
    </row>
    <row r="1036" spans="3:14" ht="14.5">
      <c r="C1036" s="10"/>
      <c r="J1036" s="10"/>
      <c r="N1036" s="12"/>
    </row>
  </sheetData>
  <hyperlinks>
    <hyperlink ref="M7" r:id="rId1" display="https://datasheets.raspberrypi.com/pico/pico-datasheet.pdf" xr:uid="{97A9FFA7-FD06-4705-AB98-4FC87EE50F73}"/>
    <hyperlink ref="J20" r:id="rId2" xr:uid="{2ABECDB6-D804-4528-AD87-771C69C14433}"/>
    <hyperlink ref="J21" r:id="rId3" xr:uid="{3022E1DE-579D-49F6-A78A-305D03BB2824}"/>
    <hyperlink ref="J22" r:id="rId4" xr:uid="{717FEB5E-50E8-46D5-B869-6AF3E485072A}"/>
    <hyperlink ref="J23" r:id="rId5" xr:uid="{91415AA6-A286-457B-9F28-B6EFEB054BA2}"/>
    <hyperlink ref="J24" r:id="rId6" xr:uid="{AC6FB068-B84D-445C-9486-3FD7AE47CCC2}"/>
    <hyperlink ref="J25" r:id="rId7" xr:uid="{7B0BC28F-345B-4C31-B18D-546BCED2F90C}"/>
    <hyperlink ref="J26" r:id="rId8" xr:uid="{C769EAEA-844C-4E4E-B7A6-AFC26B19F4D3}"/>
    <hyperlink ref="J28" r:id="rId9" xr:uid="{4E35770E-6725-4D7F-BB02-44734482711A}"/>
    <hyperlink ref="J31" r:id="rId10" xr:uid="{22610191-AEA6-44E2-ABFE-282C6ABE53ED}"/>
    <hyperlink ref="J46" r:id="rId11" xr:uid="{6DFFB212-4706-4D30-A4B8-EE40592FB126}"/>
    <hyperlink ref="H47" r:id="rId12" display="https://www.mouser.com/ProductDetail/Keystone-Electronics/5027?qs=1Og3oR3ILyAYsz733uxQVA%3D%3D" xr:uid="{211557EC-9698-4C68-8278-74B0356C0613}"/>
    <hyperlink ref="J48" r:id="rId13" xr:uid="{0C183DDF-F13E-4148-8100-125E18ADFBAD}"/>
    <hyperlink ref="J49" r:id="rId14" xr:uid="{93CB9AED-CF95-4F1E-950D-6BDC50399F05}"/>
    <hyperlink ref="H57" r:id="rId15" xr:uid="{EB3CC4FE-D147-4E84-AE91-381E49904C14}"/>
  </hyperlinks>
  <pageMargins left="0.7" right="0.7" top="0.75" bottom="0.75" header="0.3" footer="0.3"/>
  <drawing r:id="rId16"/>
  <legacyDrawing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 b</dc:creator>
  <cp:lastModifiedBy>sz b</cp:lastModifiedBy>
  <dcterms:created xsi:type="dcterms:W3CDTF">2026-02-28T23:00:35Z</dcterms:created>
  <dcterms:modified xsi:type="dcterms:W3CDTF">2026-02-28T23:12:08Z</dcterms:modified>
</cp:coreProperties>
</file>